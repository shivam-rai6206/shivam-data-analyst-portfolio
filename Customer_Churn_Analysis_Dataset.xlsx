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jsh\Downloads\"/>
    </mc:Choice>
  </mc:AlternateContent>
  <xr:revisionPtr revIDLastSave="0" documentId="13_ncr:1_{D833D3B6-7330-453E-8647-3C5C1D705B8C}" xr6:coauthVersionLast="47" xr6:coauthVersionMax="47" xr10:uidLastSave="{00000000-0000-0000-0000-000000000000}"/>
  <bookViews>
    <workbookView xWindow="-108" yWindow="-108" windowWidth="23256" windowHeight="12456" firstSheet="8" activeTab="11" xr2:uid="{00000000-000D-0000-FFFF-FFFF00000000}"/>
  </bookViews>
  <sheets>
    <sheet name="Churn Summary" sheetId="3" r:id="rId1"/>
    <sheet name="Contract Churn" sheetId="4" r:id="rId2"/>
    <sheet name="Gender Churn" sheetId="5" r:id="rId3"/>
    <sheet name="Internet Churn" sheetId="6" r:id="rId4"/>
    <sheet name="Payment Churn" sheetId="7" r:id="rId5"/>
    <sheet name="Age Group Churn" sheetId="11" r:id="rId6"/>
    <sheet name="Tenure Churn" sheetId="12" r:id="rId7"/>
    <sheet name="Monthly Charges Churn" sheetId="13" r:id="rId8"/>
    <sheet name="Total Charges Churn" sheetId="14" r:id="rId9"/>
    <sheet name="Customer Churn Data" sheetId="1" r:id="rId10"/>
    <sheet name="Project Guide" sheetId="2" r:id="rId11"/>
    <sheet name="Churn Dashboard" sheetId="15" r:id="rId12"/>
  </sheets>
  <definedNames>
    <definedName name="_xlnm._FilterDatabase" localSheetId="9" hidden="1">'Customer Churn Data'!$A$1:$K$501</definedName>
  </definedNames>
  <calcPr calcId="191029"/>
  <pivotCaches>
    <pivotCache cacheId="47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5" l="1"/>
  <c r="E3" i="15"/>
  <c r="C3" i="15"/>
  <c r="A3" i="15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<sst xmlns="http://schemas.openxmlformats.org/spreadsheetml/2006/main" count="3497" uniqueCount="940">
  <si>
    <t>Customer_ID</t>
  </si>
  <si>
    <t>Age</t>
  </si>
  <si>
    <t>Gender</t>
  </si>
  <si>
    <t>Tenure_Months</t>
  </si>
  <si>
    <t>Monthly_Charges</t>
  </si>
  <si>
    <t>Total_Charges</t>
  </si>
  <si>
    <t>Contract_Type</t>
  </si>
  <si>
    <t>Payment_Method</t>
  </si>
  <si>
    <t>Support_Calls</t>
  </si>
  <si>
    <t>Internet_Service</t>
  </si>
  <si>
    <t>Churn</t>
  </si>
  <si>
    <t>CUST-1001</t>
  </si>
  <si>
    <t>Male</t>
  </si>
  <si>
    <t>Month-to-Month</t>
  </si>
  <si>
    <t>UPI</t>
  </si>
  <si>
    <t>No</t>
  </si>
  <si>
    <t>CUST-1002</t>
  </si>
  <si>
    <t>Female</t>
  </si>
  <si>
    <t>Fiber</t>
  </si>
  <si>
    <t>CUST-1003</t>
  </si>
  <si>
    <t>Two Year</t>
  </si>
  <si>
    <t>Credit Card</t>
  </si>
  <si>
    <t>DSL</t>
  </si>
  <si>
    <t>Yes</t>
  </si>
  <si>
    <t>CUST-1004</t>
  </si>
  <si>
    <t>Cash</t>
  </si>
  <si>
    <t>CUST-1005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</si>
  <si>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</si>
  <si>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</si>
  <si>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</si>
  <si>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</si>
  <si>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</si>
  <si>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</si>
  <si>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</si>
  <si>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</si>
  <si>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One Year</t>
  </si>
  <si>
    <t>CUST-1014</t>
  </si>
  <si>
    <t>Debit Card</t>
  </si>
  <si>
    <t>CUST-1015</t>
  </si>
  <si>
    <t>CUST-1016</t>
  </si>
  <si>
    <t>CUST-1017</t>
  </si>
  <si>
    <t>CUST-1018</t>
  </si>
  <si>
    <t>CUST-1019</t>
  </si>
  <si>
    <t>CUST-1020</t>
  </si>
  <si>
    <t>CUST-1021</t>
  </si>
  <si>
    <t>CUST-1022</t>
  </si>
  <si>
    <t>Net Banking</t>
  </si>
  <si>
    <t>CUST-1023</t>
  </si>
  <si>
    <t>CUST-1024</t>
  </si>
  <si>
    <t>CUST-1025</t>
  </si>
  <si>
    <t>CUST-1026</t>
  </si>
  <si>
    <t>CUST-1027</t>
  </si>
  <si>
    <t>CUST-1028</t>
  </si>
  <si>
    <t>CUST-1029</t>
  </si>
  <si>
    <t>CUST-1030</t>
  </si>
  <si>
    <t>CUST-1031</t>
  </si>
  <si>
    <t>CUST-1032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</si>
  <si>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</si>
  <si>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</si>
  <si>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</si>
  <si>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</si>
  <si>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</si>
  <si>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</si>
  <si>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</si>
  <si>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</si>
  <si>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</si>
  <si>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</si>
  <si>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</si>
  <si>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</si>
  <si>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CUST-1045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</si>
  <si>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</si>
  <si>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</si>
  <si>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</si>
  <si>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</si>
  <si>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</si>
  <si>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</si>
  <si>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</si>
  <si>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CUST-1053</t>
  </si>
  <si>
    <t>CUST-1054</t>
  </si>
  <si>
    <t>CUST-1055</t>
  </si>
  <si>
    <t>CUST-1056</t>
  </si>
  <si>
    <t>CUST-1057</t>
  </si>
  <si>
    <t>CUST-1058</t>
  </si>
  <si>
    <t>CUST-1059</t>
  </si>
  <si>
    <t>CUST-1060</t>
  </si>
  <si>
    <t>CUST-1061</t>
  </si>
  <si>
    <t>CUST-1062</t>
  </si>
  <si>
    <t>CUST-1063</t>
  </si>
  <si>
    <t>CUST-1064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</si>
  <si>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</si>
  <si>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</si>
  <si>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</si>
  <si>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</si>
  <si>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</si>
  <si>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</si>
  <si>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</si>
  <si>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</si>
  <si>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</si>
  <si>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</si>
  <si>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CUST-1075</t>
  </si>
  <si>
    <t>CUST-1076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</si>
  <si>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</si>
  <si>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</si>
  <si>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</si>
  <si>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</si>
  <si>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</si>
  <si>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</si>
  <si>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</si>
  <si>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</si>
  <si>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</si>
  <si>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</si>
  <si>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</si>
  <si>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</si>
  <si>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</si>
  <si>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CUST-1090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</si>
  <si>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</si>
  <si>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</si>
  <si>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</si>
  <si>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</si>
  <si>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</si>
  <si>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</si>
  <si>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</si>
  <si>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</si>
  <si>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</si>
  <si>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</si>
  <si>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</si>
  <si>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</si>
  <si>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</si>
  <si>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</si>
  <si>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CUST-1105</t>
  </si>
  <si>
    <t>CUST-1106</t>
  </si>
  <si>
    <t>CUST-1107</t>
  </si>
  <si>
    <t>CUST-1108</t>
  </si>
  <si>
    <t>CUST-1109</t>
  </si>
  <si>
    <t>CUST-1110</t>
  </si>
  <si>
    <t>CUST-1111</t>
  </si>
  <si>
    <t>CUST-1112</t>
  </si>
  <si>
    <t>CUST-1113</t>
  </si>
  <si>
    <t>CUST-1114</t>
  </si>
  <si>
    <t>CUST-1115</t>
  </si>
  <si>
    <t>CUST-1116</t>
  </si>
  <si>
    <t>CUST-1117</t>
  </si>
  <si>
    <t>CUST-1118</t>
  </si>
  <si>
    <t>CUST-1119</t>
  </si>
  <si>
    <t>CUST-1120</t>
  </si>
  <si>
    <t>CUST-1121</t>
  </si>
  <si>
    <t>CUST-1122</t>
  </si>
  <si>
    <t>CUST-1123</t>
  </si>
  <si>
    <t>CUST-1124</t>
  </si>
  <si>
    <t>CUST-1125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</si>
  <si>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</si>
  <si>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</si>
  <si>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</si>
  <si>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</si>
  <si>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</si>
  <si>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</si>
  <si>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</si>
  <si>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</si>
  <si>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</si>
  <si>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</si>
  <si>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</si>
  <si>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</si>
  <si>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</si>
  <si>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</si>
  <si>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</si>
  <si>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</si>
  <si>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</si>
  <si>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</si>
  <si>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</si>
  <si>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</si>
  <si>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</si>
  <si>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</si>
  <si>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</si>
  <si>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</si>
  <si>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</si>
  <si>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</si>
  <si>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</si>
  <si>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CUST-1153</t>
  </si>
  <si>
    <t>CUST-1154</t>
  </si>
  <si>
    <t>CUST-1155</t>
  </si>
  <si>
    <t>CUST-1156</t>
  </si>
  <si>
    <t>CUST-1157</t>
  </si>
  <si>
    <t>CUST-1158</t>
  </si>
  <si>
    <t>CUST-1159</t>
  </si>
  <si>
    <t>CUST-1160</t>
  </si>
  <si>
    <t>CUST-1161</t>
  </si>
  <si>
    <t>CUST-1162</t>
  </si>
  <si>
    <t>CUST-1163</t>
  </si>
  <si>
    <t>CUST-1164</t>
  </si>
  <si>
    <t>CUST-1165</t>
  </si>
  <si>
    <t>CUST-1166</t>
  </si>
  <si>
    <t>CUST-1167</t>
  </si>
  <si>
    <t>CUST-1168</t>
  </si>
  <si>
    <t>CUST-1169</t>
  </si>
  <si>
    <t>CUST-1170</t>
  </si>
  <si>
    <t>CUST-1171</t>
  </si>
  <si>
    <t>CUST-1172</t>
  </si>
  <si>
    <t>CUST-1173</t>
  </si>
  <si>
    <t>CUST-1174</t>
  </si>
  <si>
    <t>CUST-1175</t>
  </si>
  <si>
    <t>CUST-1176</t>
  </si>
  <si>
    <t>CUST-1177</t>
  </si>
  <si>
    <t>CUST-1178</t>
  </si>
  <si>
    <t>CUST-1179</t>
  </si>
  <si>
    <t>CUST-1180</t>
  </si>
  <si>
    <t>CUST-1181</t>
  </si>
  <si>
    <t>CUST-1182</t>
  </si>
  <si>
    <t>CUST-1183</t>
  </si>
  <si>
    <t>CUST-1184</t>
  </si>
  <si>
    <t>CUST-1185</t>
  </si>
  <si>
    <t>CUST-1186</t>
  </si>
  <si>
    <t>CUST-1187</t>
  </si>
  <si>
    <t>CUST-1188</t>
  </si>
  <si>
    <t>CUST-1189</t>
  </si>
  <si>
    <t>CUST-1190</t>
  </si>
  <si>
    <t>CUST-1191</t>
  </si>
  <si>
    <t>CUST-1192</t>
  </si>
  <si>
    <t>CUST-1193</t>
  </si>
  <si>
    <t>CUST-1194</t>
  </si>
  <si>
    <t>CUST-1195</t>
  </si>
  <si>
    <t>CUST-1196</t>
  </si>
  <si>
    <t>CUST-1197</t>
  </si>
  <si>
    <t>CUST-1198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</si>
  <si>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</si>
  <si>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</si>
  <si>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</si>
  <si>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</si>
  <si>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</si>
  <si>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</si>
  <si>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</si>
  <si>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CUST-1206</t>
  </si>
  <si>
    <t>CUST-1207</t>
  </si>
  <si>
    <t>CUST-1208</t>
  </si>
  <si>
    <t>CUST-1209</t>
  </si>
  <si>
    <t>CUST-1210</t>
  </si>
  <si>
    <t>CUST-1211</t>
  </si>
  <si>
    <t>CUST-1212</t>
  </si>
  <si>
    <t>CUST-1213</t>
  </si>
  <si>
    <t>CUST-1214</t>
  </si>
  <si>
    <t>CUST-1215</t>
  </si>
  <si>
    <t>CUST-1216</t>
  </si>
  <si>
    <t>CUST-1217</t>
  </si>
  <si>
    <t>CUST-1218</t>
  </si>
  <si>
    <t>CUST-1219</t>
  </si>
  <si>
    <t>CUST-1220</t>
  </si>
  <si>
    <t>CUST-1221</t>
  </si>
  <si>
    <t>CUST-1222</t>
  </si>
  <si>
    <t>CUST-1223</t>
  </si>
  <si>
    <t>CUST-1224</t>
  </si>
  <si>
    <t>CUST-1225</t>
  </si>
  <si>
    <t>CUST-1226</t>
  </si>
  <si>
    <t>CUST-1227</t>
  </si>
  <si>
    <t>CUST-1228</t>
  </si>
  <si>
    <t>CUST-1229</t>
  </si>
  <si>
    <t>CUST-1230</t>
  </si>
  <si>
    <t>CUST-1231</t>
  </si>
  <si>
    <t>CUST-1232</t>
  </si>
  <si>
    <t>CUST-1233</t>
  </si>
  <si>
    <t>CUST-1234</t>
  </si>
  <si>
    <t>CUST-1235</t>
  </si>
  <si>
    <t>CUST-1236</t>
  </si>
  <si>
    <t>CUST-1237</t>
  </si>
  <si>
    <t>CUST-1238</t>
  </si>
  <si>
    <t>CUST-1239</t>
  </si>
  <si>
    <t>CUST-1240</t>
  </si>
  <si>
    <t>CUST-1241</t>
  </si>
  <si>
    <t>CUST-1242</t>
  </si>
  <si>
    <t>CUST-1243</t>
  </si>
  <si>
    <t>CUST-1244</t>
  </si>
  <si>
    <t>CUST-1245</t>
  </si>
  <si>
    <t>CUST-1246</t>
  </si>
  <si>
    <t>CUST-1247</t>
  </si>
  <si>
    <t>CUST-1248</t>
  </si>
  <si>
    <t>CUST-1249</t>
  </si>
  <si>
    <t>CUST-1250</t>
  </si>
  <si>
    <t>CUST-1251</t>
  </si>
  <si>
    <t>CUST-1252</t>
  </si>
  <si>
    <t>CUST-1253</t>
  </si>
  <si>
    <t>CUST-1254</t>
  </si>
  <si>
    <t>CUST-1255</t>
  </si>
  <si>
    <t>CUST-1256</t>
  </si>
  <si>
    <t>CUST-1257</t>
  </si>
  <si>
    <t>CUST-1258</t>
  </si>
  <si>
    <t>CUST-1259</t>
  </si>
  <si>
    <t>CUST-1260</t>
  </si>
  <si>
    <t>CUST-1261</t>
  </si>
  <si>
    <t>CUST-1262</t>
  </si>
  <si>
    <t>CUST-1263</t>
  </si>
  <si>
    <t>CUST-1264</t>
  </si>
  <si>
    <t>CUST-1265</t>
  </si>
  <si>
    <t>CUST-1266</t>
  </si>
  <si>
    <t>CUST-1267</t>
  </si>
  <si>
    <t>CUST-1268</t>
  </si>
  <si>
    <t>CUST-1269</t>
  </si>
  <si>
    <t>CUST-1270</t>
  </si>
  <si>
    <t>CUST-1271</t>
  </si>
  <si>
    <t>CUST-1272</t>
  </si>
  <si>
    <t>CUST-1273</t>
  </si>
  <si>
    <t>CUST-1274</t>
  </si>
  <si>
    <t>CUST-1275</t>
  </si>
  <si>
    <t>CUST-1276</t>
  </si>
  <si>
    <t>CUST-1277</t>
  </si>
  <si>
    <t>CUST-1278</t>
  </si>
  <si>
    <t>CUST-1279</t>
  </si>
  <si>
    <t>CUST-1280</t>
  </si>
  <si>
    <t>CUST-1281</t>
  </si>
  <si>
    <t>CUST-1282</t>
  </si>
  <si>
    <t>CUST-1283</t>
  </si>
  <si>
    <t>CUST-1284</t>
  </si>
  <si>
    <t>CUST-1285</t>
  </si>
  <si>
    <t>CUST-1286</t>
  </si>
  <si>
    <t>CUST-1287</t>
  </si>
  <si>
    <t>CUST-1288</t>
  </si>
  <si>
    <t>CUST-1289</t>
  </si>
  <si>
    <t>CUST-1290</t>
  </si>
  <si>
    <t>CUST-1291</t>
  </si>
  <si>
    <t>CUST-1292</t>
  </si>
  <si>
    <t>CUST-1293</t>
  </si>
  <si>
    <t>CUST-1294</t>
  </si>
  <si>
    <t>CUST-1295</t>
  </si>
  <si>
    <t>CUST-1296</t>
  </si>
  <si>
    <t>CUST-1297</t>
  </si>
  <si>
    <t>CUST-1298</t>
  </si>
  <si>
    <t>CUST-1299</t>
  </si>
  <si>
    <t>CUST-1300</t>
  </si>
  <si>
    <t>CUST-1301</t>
  </si>
  <si>
    <t>CUST-1302</t>
  </si>
  <si>
    <t>CUST-1303</t>
  </si>
  <si>
    <t>CUST-1304</t>
  </si>
  <si>
    <t>CUST-1305</t>
  </si>
  <si>
    <t>CUST-1306</t>
  </si>
  <si>
    <t>CUST-1307</t>
  </si>
  <si>
    <t>CUST-1308</t>
  </si>
  <si>
    <t>CUST-1309</t>
  </si>
  <si>
    <t>CUST-1310</t>
  </si>
  <si>
    <t>CUST-1311</t>
  </si>
  <si>
    <t>CUST-1312</t>
  </si>
  <si>
    <t>CUST-1313</t>
  </si>
  <si>
    <t>CUST-1314</t>
  </si>
  <si>
    <t>CUST-1315</t>
  </si>
  <si>
    <t>CUST-1316</t>
  </si>
  <si>
    <t>CUST-1317</t>
  </si>
  <si>
    <t>CUST-1318</t>
  </si>
  <si>
    <t>CUST-1319</t>
  </si>
  <si>
    <t>CUST-1320</t>
  </si>
  <si>
    <t>CUST-1321</t>
  </si>
  <si>
    <t>CUST-1322</t>
  </si>
  <si>
    <t>CUST-1323</t>
  </si>
  <si>
    <t>CUST-1324</t>
  </si>
  <si>
    <t>CUST-1325</t>
  </si>
  <si>
    <t>CUST-1326</t>
  </si>
  <si>
    <t>CUST-1327</t>
  </si>
  <si>
    <t>CUST-1328</t>
  </si>
  <si>
    <t>CUST-1329</t>
  </si>
  <si>
    <t>CUST-1330</t>
  </si>
  <si>
    <t>CUST-1331</t>
  </si>
  <si>
    <t>CUST-1332</t>
  </si>
  <si>
    <t>CUST-1333</t>
  </si>
  <si>
    <t>CUST-1334</t>
  </si>
  <si>
    <t>CUST-1335</t>
  </si>
  <si>
    <t>CUST-1336</t>
  </si>
  <si>
    <t>CUST-1337</t>
  </si>
  <si>
    <t>CUST-1338</t>
  </si>
  <si>
    <t>CUST-1339</t>
  </si>
  <si>
    <t>CUST-1340</t>
  </si>
  <si>
    <t>CUST-1341</t>
  </si>
  <si>
    <t>CUST-1342</t>
  </si>
  <si>
    <t>CUST-1343</t>
  </si>
  <si>
    <t>CUST-1344</t>
  </si>
  <si>
    <t>CUST-1345</t>
  </si>
  <si>
    <t>CUST-1346</t>
  </si>
  <si>
    <t>CUST-1347</t>
  </si>
  <si>
    <t>CUST-1348</t>
  </si>
  <si>
    <t>CUST-1349</t>
  </si>
  <si>
    <t>CUST-1350</t>
  </si>
  <si>
    <t>CUST-1351</t>
  </si>
  <si>
    <t>CUST-1352</t>
  </si>
  <si>
    <t>CUST-1353</t>
  </si>
  <si>
    <t>CUST-1354</t>
  </si>
  <si>
    <t>CUST-1355</t>
  </si>
  <si>
    <t>CUST-1356</t>
  </si>
  <si>
    <t>CUST-1357</t>
  </si>
  <si>
    <t>CUST-1358</t>
  </si>
  <si>
    <t>CUST-1359</t>
  </si>
  <si>
    <t>CUST-1360</t>
  </si>
  <si>
    <t>CUST-1361</t>
  </si>
  <si>
    <t>CUST-1362</t>
  </si>
  <si>
    <t>CUST-1363</t>
  </si>
  <si>
    <t>CUST-1364</t>
  </si>
  <si>
    <t>CUST-1365</t>
  </si>
  <si>
    <t>CUST-1366</t>
  </si>
  <si>
    <t>CUST-1367</t>
  </si>
  <si>
    <t>CUST-1368</t>
  </si>
  <si>
    <t>CUST-1369</t>
  </si>
  <si>
    <t>CUST-1370</t>
  </si>
  <si>
    <t>CUST-1371</t>
  </si>
  <si>
    <t>CUST-1372</t>
  </si>
  <si>
    <t>CUST-1373</t>
  </si>
  <si>
    <t>CUST-1374</t>
  </si>
  <si>
    <t>CUST-1375</t>
  </si>
  <si>
    <t>CUST-1376</t>
  </si>
  <si>
    <t>CUST-1377</t>
  </si>
  <si>
    <t>CUST-1378</t>
  </si>
  <si>
    <t>CUST-1379</t>
  </si>
  <si>
    <t>CUST-1380</t>
  </si>
  <si>
    <t>CUST-1381</t>
  </si>
  <si>
    <t>CUST-1382</t>
  </si>
  <si>
    <t>CUST-1383</t>
  </si>
  <si>
    <t>CUST-1384</t>
  </si>
  <si>
    <t>CUST-1385</t>
  </si>
  <si>
    <t>CUST-1386</t>
  </si>
  <si>
    <t>CUST-1387</t>
  </si>
  <si>
    <t>CUST-1388</t>
  </si>
  <si>
    <t>CUST-1389</t>
  </si>
  <si>
    <t>CUST-1390</t>
  </si>
  <si>
    <t>CUST-1391</t>
  </si>
  <si>
    <t>CUST-1392</t>
  </si>
  <si>
    <t>CUST-1393</t>
  </si>
  <si>
    <t>CUST-1394</t>
  </si>
  <si>
    <t>CUST-1395</t>
  </si>
  <si>
    <t>CUST-1396</t>
  </si>
  <si>
    <t>CUST-1397</t>
  </si>
  <si>
    <t>CUST-1398</t>
  </si>
  <si>
    <t>CUST-1399</t>
  </si>
  <si>
    <t>CUST-1400</t>
  </si>
  <si>
    <t>CUST-1401</t>
  </si>
  <si>
    <t>CUST-1402</t>
  </si>
  <si>
    <t>CUST-1403</t>
  </si>
  <si>
    <t>CUST-1404</t>
  </si>
  <si>
    <t>CUST-1405</t>
  </si>
  <si>
    <t>CUST-1406</t>
  </si>
  <si>
    <t>CUST-1407</t>
  </si>
  <si>
    <t>CUST-1408</t>
  </si>
  <si>
    <t>CUST-1409</t>
  </si>
  <si>
    <t>CUST-1410</t>
  </si>
  <si>
    <t>CUST-1411</t>
  </si>
  <si>
    <t>CUST-1412</t>
  </si>
  <si>
    <t>CUST-1413</t>
  </si>
  <si>
    <t>CUST-1414</t>
  </si>
  <si>
    <t>CUST-1415</t>
  </si>
  <si>
    <t>CUST-1416</t>
  </si>
  <si>
    <t>CUST-1417</t>
  </si>
  <si>
    <t>CUST-1418</t>
  </si>
  <si>
    <t>CUST-1419</t>
  </si>
  <si>
    <t>CUST-1420</t>
  </si>
  <si>
    <t>CUST-1421</t>
  </si>
  <si>
    <t>CUST-1422</t>
  </si>
  <si>
    <t>CUST-1423</t>
  </si>
  <si>
    <t>CUST-1424</t>
  </si>
  <si>
    <t>CUST-1425</t>
  </si>
  <si>
    <t>CUST-1426</t>
  </si>
  <si>
    <t>CUST-1427</t>
  </si>
  <si>
    <t>CUST-1428</t>
  </si>
  <si>
    <t>CUST-1429</t>
  </si>
  <si>
    <t>CUST-1430</t>
  </si>
  <si>
    <t>CUST-1431</t>
  </si>
  <si>
    <t>CUST-1432</t>
  </si>
  <si>
    <t>CUST-1433</t>
  </si>
  <si>
    <t>CUST-1434</t>
  </si>
  <si>
    <t>CUST-1435</t>
  </si>
  <si>
    <t>CUST-1436</t>
  </si>
  <si>
    <t>CUST-1437</t>
  </si>
  <si>
    <t>CUST-1438</t>
  </si>
  <si>
    <t>CUST-1439</t>
  </si>
  <si>
    <t>CUST-1440</t>
  </si>
  <si>
    <t>CUST-1441</t>
  </si>
  <si>
    <t>CUST-1442</t>
  </si>
  <si>
    <t>CUST-1443</t>
  </si>
  <si>
    <t>CUST-1444</t>
  </si>
  <si>
    <t>CUST-1445</t>
  </si>
  <si>
    <t>CUST-1446</t>
  </si>
  <si>
    <t>CUST-1447</t>
  </si>
  <si>
    <t>CUST-1448</t>
  </si>
  <si>
    <t>CUST-1449</t>
  </si>
  <si>
    <t>CUST-1450</t>
  </si>
  <si>
    <t>CUST-1451</t>
  </si>
  <si>
    <t>CUST-1452</t>
  </si>
  <si>
    <t>CUST-1453</t>
  </si>
  <si>
    <t>CUST-1454</t>
  </si>
  <si>
    <t>CUST-1455</t>
  </si>
  <si>
    <t>CUST-1456</t>
  </si>
  <si>
    <t>CUST-1457</t>
  </si>
  <si>
    <t>CUST-1458</t>
  </si>
  <si>
    <t>CUST-1459</t>
  </si>
  <si>
    <t>CUST-1460</t>
  </si>
  <si>
    <t>CUST-1461</t>
  </si>
  <si>
    <t>CUST-1462</t>
  </si>
  <si>
    <t>CUST-1463</t>
  </si>
  <si>
    <t>CUST-1464</t>
  </si>
  <si>
    <t>CUST-1465</t>
  </si>
  <si>
    <t>CUST-1466</t>
  </si>
  <si>
    <t>CUST-1467</t>
  </si>
  <si>
    <t>CUST-1468</t>
  </si>
  <si>
    <t>CUST-1469</t>
  </si>
  <si>
    <t>CUST-1470</t>
  </si>
  <si>
    <t>CUST-1471</t>
  </si>
  <si>
    <t>CUST-1472</t>
  </si>
  <si>
    <t>CUST-1473</t>
  </si>
  <si>
    <t>CUST-1474</t>
  </si>
  <si>
    <t>CUST-1475</t>
  </si>
  <si>
    <t>CUST-1476</t>
  </si>
  <si>
    <t>CUST-1477</t>
  </si>
  <si>
    <t>CUST-1478</t>
  </si>
  <si>
    <t>CUST-1479</t>
  </si>
  <si>
    <t>CUST-1480</t>
  </si>
  <si>
    <t>CUST-1481</t>
  </si>
  <si>
    <t>CUST-1482</t>
  </si>
  <si>
    <t>CUST-1483</t>
  </si>
  <si>
    <t>CUST-1484</t>
  </si>
  <si>
    <t>CUST-1485</t>
  </si>
  <si>
    <t>CUST-1486</t>
  </si>
  <si>
    <t>CUST-1487</t>
  </si>
  <si>
    <t>CUST-1488</t>
  </si>
  <si>
    <t>CUST-1489</t>
  </si>
  <si>
    <t>CUST-1490</t>
  </si>
  <si>
    <t>CUST-1491</t>
  </si>
  <si>
    <t>CUST-1492</t>
  </si>
  <si>
    <t>CUST-1493</t>
  </si>
  <si>
    <t>CUST-1494</t>
  </si>
  <si>
    <t>CUST-1495</t>
  </si>
  <si>
    <t>CUST-1496</t>
  </si>
  <si>
    <t>CUST-1497</t>
  </si>
  <si>
    <t>CUST-1498</t>
  </si>
  <si>
    <t>CUST-1499</t>
  </si>
  <si>
    <t>CUST-1500</t>
  </si>
  <si>
    <t>Project</t>
  </si>
  <si>
    <t>Purpose</t>
  </si>
  <si>
    <t>Rows</t>
  </si>
  <si>
    <t>Tools</t>
  </si>
  <si>
    <t>Next Step</t>
  </si>
  <si>
    <t>Customer Churn Analysis</t>
  </si>
  <si>
    <t>Analyze customer churn and identify factors linked to customer retention.</t>
  </si>
  <si>
    <t>Excel + Power BI</t>
  </si>
  <si>
    <t>Clean/check data, create Pivot Tables, then build a Power BI dashboard.</t>
  </si>
  <si>
    <t>Row Labels</t>
  </si>
  <si>
    <t>Grand Total</t>
  </si>
  <si>
    <t>Count of Customer_ID</t>
  </si>
  <si>
    <t>Column Labels</t>
  </si>
  <si>
    <t>Age Group</t>
  </si>
  <si>
    <t>25-34</t>
  </si>
  <si>
    <t>35-44</t>
  </si>
  <si>
    <t>45-54</t>
  </si>
  <si>
    <t>55+</t>
  </si>
  <si>
    <t>Under 25</t>
  </si>
  <si>
    <t>509.7-529.7</t>
  </si>
  <si>
    <t>529.7-549.7</t>
  </si>
  <si>
    <t>549.7-569.7</t>
  </si>
  <si>
    <t>569.7-589.7</t>
  </si>
  <si>
    <t>589.7-609.7</t>
  </si>
  <si>
    <t>609.7-629.7</t>
  </si>
  <si>
    <t>629.7-649.7</t>
  </si>
  <si>
    <t>649.7-669.7</t>
  </si>
  <si>
    <t>669.7-689.7</t>
  </si>
  <si>
    <t>689.7-709.7</t>
  </si>
  <si>
    <t>709.7-729.7</t>
  </si>
  <si>
    <t>729.7-749.7</t>
  </si>
  <si>
    <t>749.7-769.7</t>
  </si>
  <si>
    <t>769.7-789.7</t>
  </si>
  <si>
    <t>789.7-809.7</t>
  </si>
  <si>
    <t>809.7-829.7</t>
  </si>
  <si>
    <t>829.7-849.7</t>
  </si>
  <si>
    <t>849.7-869.7</t>
  </si>
  <si>
    <t>869.7-889.7</t>
  </si>
  <si>
    <t>889.7-909.7</t>
  </si>
  <si>
    <t>909.7-929.7</t>
  </si>
  <si>
    <t>929.7-949.7</t>
  </si>
  <si>
    <t>949.7-969.7</t>
  </si>
  <si>
    <t>969.7-989.7</t>
  </si>
  <si>
    <t>989.7-1009.7</t>
  </si>
  <si>
    <t>1009.7-1029.7</t>
  </si>
  <si>
    <t>1029.7-1049.7</t>
  </si>
  <si>
    <t>1049.7-1069.7</t>
  </si>
  <si>
    <t>1069.7-1089.7</t>
  </si>
  <si>
    <t>1089.7-1109.7</t>
  </si>
  <si>
    <t>1109.7-1129.7</t>
  </si>
  <si>
    <t>1129.7-1149.7</t>
  </si>
  <si>
    <t>1169.7-1189.7</t>
  </si>
  <si>
    <t>1189.7-1209.7</t>
  </si>
  <si>
    <t>1209.7-1229.7</t>
  </si>
  <si>
    <t>1229.7-1249.7</t>
  </si>
  <si>
    <t>1249.7-1269.7</t>
  </si>
  <si>
    <t>1269.7-1289.7</t>
  </si>
  <si>
    <t>1289.7-1309.7</t>
  </si>
  <si>
    <t>1309.7-1329.7</t>
  </si>
  <si>
    <t>1329.7-1349.7</t>
  </si>
  <si>
    <t>1349.7-1369.7</t>
  </si>
  <si>
    <t>1389.7-1409.7</t>
  </si>
  <si>
    <t>1409.7-1429.7</t>
  </si>
  <si>
    <t>1429.7-1449.7</t>
  </si>
  <si>
    <t>1449.7-1469.7</t>
  </si>
  <si>
    <t>1469.7-1489.7</t>
  </si>
  <si>
    <t>1489.7-1509.7</t>
  </si>
  <si>
    <t>1509.7-1529.7</t>
  </si>
  <si>
    <t>1529.7-1549.7</t>
  </si>
  <si>
    <t>1589.7-1609.7</t>
  </si>
  <si>
    <t>1609.7-1629.7</t>
  </si>
  <si>
    <t>1629.7-1649.7</t>
  </si>
  <si>
    <t>1649.7-1669.7</t>
  </si>
  <si>
    <t>1669.7-1689.7</t>
  </si>
  <si>
    <t>1689.7-1709.7</t>
  </si>
  <si>
    <t>1709.7-1729.7</t>
  </si>
  <si>
    <t>1729.7-1749.7</t>
  </si>
  <si>
    <t>1749.7-1769.7</t>
  </si>
  <si>
    <t>1769.7-1789.7</t>
  </si>
  <si>
    <t>1789.7-1809.7</t>
  </si>
  <si>
    <t>1809.7-1829.7</t>
  </si>
  <si>
    <t>1829.7-1849.7</t>
  </si>
  <si>
    <t>1849.7-1869.7</t>
  </si>
  <si>
    <t>1869.7-1889.7</t>
  </si>
  <si>
    <t>1889.7-1909.7</t>
  </si>
  <si>
    <t>1909.7-1929.7</t>
  </si>
  <si>
    <t>1929.7-1949.7</t>
  </si>
  <si>
    <t>1969.7-1989.7</t>
  </si>
  <si>
    <t>1989.7-2009.7</t>
  </si>
  <si>
    <t>2009.7-2029.7</t>
  </si>
  <si>
    <t>2049.7-2069.7</t>
  </si>
  <si>
    <t>2069.7-2089.7</t>
  </si>
  <si>
    <t>2089.7-2109.7</t>
  </si>
  <si>
    <t>2109.7-2129.7</t>
  </si>
  <si>
    <t>2129.7-2149.7</t>
  </si>
  <si>
    <t>2149.7-2169.7</t>
  </si>
  <si>
    <t>2169.7-2189.7</t>
  </si>
  <si>
    <t>2189.7-2209.7</t>
  </si>
  <si>
    <t>2209.7-2229.7</t>
  </si>
  <si>
    <t>2229.7-2249.7</t>
  </si>
  <si>
    <t>2249.7-2269.7</t>
  </si>
  <si>
    <t>2269.7-2289.7</t>
  </si>
  <si>
    <t>2289.7-2309.7</t>
  </si>
  <si>
    <t>2309.7-2329.7</t>
  </si>
  <si>
    <t>2329.7-2349.7</t>
  </si>
  <si>
    <t>2349.7-2369.7</t>
  </si>
  <si>
    <t>2369.7-2389.7</t>
  </si>
  <si>
    <t>2409.7-2429.7</t>
  </si>
  <si>
    <t>2429.7-2449.7</t>
  </si>
  <si>
    <t>2449.7-2469.7</t>
  </si>
  <si>
    <t>2469.7-2489.7</t>
  </si>
  <si>
    <t>2489.7-2509.7</t>
  </si>
  <si>
    <t>2509.7-2529.7</t>
  </si>
  <si>
    <t>2529.7-2549.7</t>
  </si>
  <si>
    <t>2549.7-2569.7</t>
  </si>
  <si>
    <t>2569.7-2589.7</t>
  </si>
  <si>
    <t>2629.7-2649.7</t>
  </si>
  <si>
    <t>2669.7-2689.7</t>
  </si>
  <si>
    <t>2689.7-2709.7</t>
  </si>
  <si>
    <t>2729.7-2749.7</t>
  </si>
  <si>
    <t>2749.7-2769.7</t>
  </si>
  <si>
    <t>2769.7-2789.7</t>
  </si>
  <si>
    <t>2789.7-2809.7</t>
  </si>
  <si>
    <t>2809.7-2829.7</t>
  </si>
  <si>
    <t>2829.7-2849.7</t>
  </si>
  <si>
    <t>2849.7-2869.7</t>
  </si>
  <si>
    <t>2869.7-2889.7</t>
  </si>
  <si>
    <t>2889.7-2909.7</t>
  </si>
  <si>
    <t>2909.7-2929.7</t>
  </si>
  <si>
    <t>2929.7-2949.7</t>
  </si>
  <si>
    <t>2949.7-2969.7</t>
  </si>
  <si>
    <t>2969.7-2989.7</t>
  </si>
  <si>
    <t>2989.7-3009.7</t>
  </si>
  <si>
    <t>3009.7-3029.7</t>
  </si>
  <si>
    <t>3029.7-3049.7</t>
  </si>
  <si>
    <t>3069.7-3089.7</t>
  </si>
  <si>
    <t>3089.7-3109.7</t>
  </si>
  <si>
    <t>3109.7-3129.7</t>
  </si>
  <si>
    <t>3129.7-3149.7</t>
  </si>
  <si>
    <t>3149.7-3169.7</t>
  </si>
  <si>
    <t>3169.7-3189.7</t>
  </si>
  <si>
    <t>3189.7-3209.7</t>
  </si>
  <si>
    <t>3209.7-3229.7</t>
  </si>
  <si>
    <t>3229.7-3249.7</t>
  </si>
  <si>
    <t>3249.7-3269.7</t>
  </si>
  <si>
    <t>3269.7-3289.7</t>
  </si>
  <si>
    <t>3309.7-3329.7</t>
  </si>
  <si>
    <t>3349.7-3369.7</t>
  </si>
  <si>
    <t>3369.7-3389.7</t>
  </si>
  <si>
    <t>3389.7-3409.7</t>
  </si>
  <si>
    <t>3409.7-3429.7</t>
  </si>
  <si>
    <t>3429.7-3449.7</t>
  </si>
  <si>
    <t>3449.7-3469.7</t>
  </si>
  <si>
    <t>3469.7-3489.7</t>
  </si>
  <si>
    <t>3489.7-3509.7</t>
  </si>
  <si>
    <t>3509.7-3529.7</t>
  </si>
  <si>
    <t>3529.7-3549.7</t>
  </si>
  <si>
    <t>3549.7-3569.7</t>
  </si>
  <si>
    <t>3569.7-3589.7</t>
  </si>
  <si>
    <t>3629.7-3649.7</t>
  </si>
  <si>
    <t>3649.7-3669.7</t>
  </si>
  <si>
    <t>3669.7-3689.7</t>
  </si>
  <si>
    <t>3689.7-3709.7</t>
  </si>
  <si>
    <t>3709.7-3729.7</t>
  </si>
  <si>
    <t>3729.7-3749.7</t>
  </si>
  <si>
    <t>3749.7-3769.7</t>
  </si>
  <si>
    <t>3789.7-3809.7</t>
  </si>
  <si>
    <t>3809.7-3829.7</t>
  </si>
  <si>
    <t>3829.7-3849.7</t>
  </si>
  <si>
    <t>3849.7-3869.7</t>
  </si>
  <si>
    <t>3869.7-3889.7</t>
  </si>
  <si>
    <t>3889.7-3909.7</t>
  </si>
  <si>
    <t>3949.7-3969.7</t>
  </si>
  <si>
    <t>3969.7-3989.7</t>
  </si>
  <si>
    <t>3989.7-4009.7</t>
  </si>
  <si>
    <t>4009.7-4029.7</t>
  </si>
  <si>
    <t>4029.7-4049.7</t>
  </si>
  <si>
    <t>4089.7-4109.7</t>
  </si>
  <si>
    <t>4109.7-4129.7</t>
  </si>
  <si>
    <t>4149.7-4169.7</t>
  </si>
  <si>
    <t>4169.7-4189.7</t>
  </si>
  <si>
    <t>4189.7-4209.7</t>
  </si>
  <si>
    <t>4229.7-4249.7</t>
  </si>
  <si>
    <t>4249.7-4269.7</t>
  </si>
  <si>
    <t>4269.7-4289.7</t>
  </si>
  <si>
    <t>4289.7-4309.7</t>
  </si>
  <si>
    <t>4309.7-4329.7</t>
  </si>
  <si>
    <t>4329.7-4349.7</t>
  </si>
  <si>
    <t>4369.7-4389.7</t>
  </si>
  <si>
    <t>4389.7-4409.7</t>
  </si>
  <si>
    <t>4409.7-4429.7</t>
  </si>
  <si>
    <t>4429.7-4449.7</t>
  </si>
  <si>
    <t>4449.7-4469.7</t>
  </si>
  <si>
    <t>4469.7-4489.7</t>
  </si>
  <si>
    <t>4489.7-4509.7</t>
  </si>
  <si>
    <t>4509.7-4529.7</t>
  </si>
  <si>
    <t>4529.7-4549.7</t>
  </si>
  <si>
    <t>4549.7-4569.7</t>
  </si>
  <si>
    <t>4589.7-4609.7</t>
  </si>
  <si>
    <t>4609.7-4629.7</t>
  </si>
  <si>
    <t>4629.7-4649.7</t>
  </si>
  <si>
    <t>4649.7-4669.7</t>
  </si>
  <si>
    <t>4669.7-4689.7</t>
  </si>
  <si>
    <t>4689.7-4709.7</t>
  </si>
  <si>
    <t>4729.7-4749.7</t>
  </si>
  <si>
    <t>4749.7-4769.7</t>
  </si>
  <si>
    <t>4769.7-4789.7</t>
  </si>
  <si>
    <t>4829.7-4849.7</t>
  </si>
  <si>
    <t>4869.7-4889.7</t>
  </si>
  <si>
    <t>4889.7-4909.7</t>
  </si>
  <si>
    <t>4909.7-4929.7</t>
  </si>
  <si>
    <t>4929.7-4949.7</t>
  </si>
  <si>
    <t>4949.7-4969.7</t>
  </si>
  <si>
    <t>4969.7-4989.7</t>
  </si>
  <si>
    <t>4989.7-5009.7</t>
  </si>
  <si>
    <t>790.84-1790.84</t>
  </si>
  <si>
    <t>1790.84-2790.84</t>
  </si>
  <si>
    <t>2790.84-3790.84</t>
  </si>
  <si>
    <t>3790.84-4790.84</t>
  </si>
  <si>
    <t>4790.84-5790.84</t>
  </si>
  <si>
    <t>5790.84-6790.84</t>
  </si>
  <si>
    <t>6790.84-7790.84</t>
  </si>
  <si>
    <t>7790.84-8790.84</t>
  </si>
  <si>
    <t>8790.84-9790.84</t>
  </si>
  <si>
    <t>9790.84-10790.84</t>
  </si>
  <si>
    <t>10790.84-11790.84</t>
  </si>
  <si>
    <t>11790.84-12790.84</t>
  </si>
  <si>
    <t>12790.84-13790.84</t>
  </si>
  <si>
    <t>13790.84-14790.84</t>
  </si>
  <si>
    <t>14790.84-15790.84</t>
  </si>
  <si>
    <t>15790.84-16790.84</t>
  </si>
  <si>
    <t>16790.84-17790.84</t>
  </si>
  <si>
    <t>17790.84-18790.84</t>
  </si>
  <si>
    <t>18790.84-19790.84</t>
  </si>
  <si>
    <t>19790.84-20790.84</t>
  </si>
  <si>
    <t>20790.84-21790.84</t>
  </si>
  <si>
    <t>21790.84-22790.84</t>
  </si>
  <si>
    <t>22790.84-23790.84</t>
  </si>
  <si>
    <t>23790.84-24790.84</t>
  </si>
  <si>
    <t>24790.84-25790.84</t>
  </si>
  <si>
    <t>25790.84-26790.84</t>
  </si>
  <si>
    <t>26790.84-27790.84</t>
  </si>
  <si>
    <t>27790.84-28790.84</t>
  </si>
  <si>
    <t>28790.84-29790.84</t>
  </si>
  <si>
    <t>29790.84-30790.84</t>
  </si>
  <si>
    <t>30790.84-31790.84</t>
  </si>
  <si>
    <t>31790.84-32790.84</t>
  </si>
  <si>
    <t>32790.84-33790.84</t>
  </si>
  <si>
    <t>33790.84-34790.84</t>
  </si>
  <si>
    <t>34790.84-35790.84</t>
  </si>
  <si>
    <t>35790.84-36790.84</t>
  </si>
  <si>
    <t>36790.84-37790.84</t>
  </si>
  <si>
    <t>37790.84-38790.84</t>
  </si>
  <si>
    <t>38790.84-39790.84</t>
  </si>
  <si>
    <t>39790.84-40790.84</t>
  </si>
  <si>
    <t>40790.84-41790.84</t>
  </si>
  <si>
    <t>41790.84-42790.84</t>
  </si>
  <si>
    <t>42790.84-43790.84</t>
  </si>
  <si>
    <t>43790.84-44790.84</t>
  </si>
  <si>
    <t>44790.84-45790.84</t>
  </si>
  <si>
    <t>45790.84-46790.84</t>
  </si>
  <si>
    <t>46790.84-47790.84</t>
  </si>
  <si>
    <t>47790.84-48790.84</t>
  </si>
  <si>
    <t>48790.84-49790.84</t>
  </si>
  <si>
    <t>49790.84-50790.84</t>
  </si>
  <si>
    <t>51790.84-52790.84</t>
  </si>
  <si>
    <t>52790.84-53790.84</t>
  </si>
  <si>
    <t>53790.84-54790.84</t>
  </si>
  <si>
    <t>54790.84-55790.84</t>
  </si>
  <si>
    <t>55790.84-56790.84</t>
  </si>
  <si>
    <t>56790.84-57790.84</t>
  </si>
  <si>
    <t>57790.84-58790.84</t>
  </si>
  <si>
    <t>58790.84-59790.84</t>
  </si>
  <si>
    <t>59790.84-60790.84</t>
  </si>
  <si>
    <t>60790.84-61790.84</t>
  </si>
  <si>
    <t>61790.84-62790.84</t>
  </si>
  <si>
    <t>62790.84-63790.84</t>
  </si>
  <si>
    <t>63790.84-64790.84</t>
  </si>
  <si>
    <t>65790.84-66790.84</t>
  </si>
  <si>
    <t>67790.84-68790.84</t>
  </si>
  <si>
    <t>68790.84-69790.84</t>
  </si>
  <si>
    <t>69790.84-70790.84</t>
  </si>
  <si>
    <t>70790.84-71790.84</t>
  </si>
  <si>
    <t>72790.84-73790.84</t>
  </si>
  <si>
    <t>73790.84-74790.84</t>
  </si>
  <si>
    <t>74790.84-75790.84</t>
  </si>
  <si>
    <t>75790.84-76790.84</t>
  </si>
  <si>
    <t>76790.84-77790.84</t>
  </si>
  <si>
    <t>77790.84-78790.84</t>
  </si>
  <si>
    <t>78790.84-79790.84</t>
  </si>
  <si>
    <t>79790.84-80790.84</t>
  </si>
  <si>
    <t>81790.84-82790.84</t>
  </si>
  <si>
    <t>83790.84-84790.84</t>
  </si>
  <si>
    <t>84790.84-85790.84</t>
  </si>
  <si>
    <t>85790.84-86790.84</t>
  </si>
  <si>
    <t>86790.84-87790.84</t>
  </si>
  <si>
    <t>87790.84-88790.84</t>
  </si>
  <si>
    <t>88790.84-89790.84</t>
  </si>
  <si>
    <t>89790.84-90790.84</t>
  </si>
  <si>
    <t>90790.84-91790.84</t>
  </si>
  <si>
    <t>91790.84-92790.84</t>
  </si>
  <si>
    <t>92790.84-93790.84</t>
  </si>
  <si>
    <t>93790.84-94790.84</t>
  </si>
  <si>
    <t>94790.84-95790.84</t>
  </si>
  <si>
    <t>95790.84-96790.84</t>
  </si>
  <si>
    <t>96790.84-97790.84</t>
  </si>
  <si>
    <t>97790.84-98790.84</t>
  </si>
  <si>
    <t>98790.84-99790.84</t>
  </si>
  <si>
    <t>99790.84-100790.84</t>
  </si>
  <si>
    <t>100790.84-101790.84</t>
  </si>
  <si>
    <t>101790.84-102790.84</t>
  </si>
  <si>
    <t>102790.84-103790.84</t>
  </si>
  <si>
    <t>103790.84-104790.84</t>
  </si>
  <si>
    <t>104790.84-105790.84</t>
  </si>
  <si>
    <t>106790.84-107790.84</t>
  </si>
  <si>
    <t>107790.84-108790.84</t>
  </si>
  <si>
    <t>108790.84-109790.84</t>
  </si>
  <si>
    <t>110790.84-111790.84</t>
  </si>
  <si>
    <t>111790.84-112790.84</t>
  </si>
  <si>
    <t>112790.84-113790.84</t>
  </si>
  <si>
    <t>113790.84-114790.84</t>
  </si>
  <si>
    <t>114790.84-115790.84</t>
  </si>
  <si>
    <t>115790.84-116790.84</t>
  </si>
  <si>
    <t>116790.84-117790.84</t>
  </si>
  <si>
    <t>117790.84-118790.84</t>
  </si>
  <si>
    <t>119790.84-120790.84</t>
  </si>
  <si>
    <t>121790.84-122790.84</t>
  </si>
  <si>
    <t>122790.84-123790.84</t>
  </si>
  <si>
    <t>123790.84-124790.84</t>
  </si>
  <si>
    <t>125790.84-126790.84</t>
  </si>
  <si>
    <t>126790.84-127790.84</t>
  </si>
  <si>
    <t>127790.84-128790.84</t>
  </si>
  <si>
    <t>129790.84-130790.84</t>
  </si>
  <si>
    <t>131790.84-132790.84</t>
  </si>
  <si>
    <t>132790.84-133790.84</t>
  </si>
  <si>
    <t>133790.84-134790.84</t>
  </si>
  <si>
    <t>134790.84-135790.84</t>
  </si>
  <si>
    <t>135790.84-136790.84</t>
  </si>
  <si>
    <t>136790.84-137790.84</t>
  </si>
  <si>
    <t>137790.84-138790.84</t>
  </si>
  <si>
    <t>138790.84-139790.84</t>
  </si>
  <si>
    <t>140790.84-141790.84</t>
  </si>
  <si>
    <t>141790.84-142790.84</t>
  </si>
  <si>
    <t>142790.84-143790.84</t>
  </si>
  <si>
    <t>144790.84-145790.84</t>
  </si>
  <si>
    <t>145790.84-146790.84</t>
  </si>
  <si>
    <t>146790.84-147790.84</t>
  </si>
  <si>
    <t>149790.84-150790.84</t>
  </si>
  <si>
    <t>152790.84-153790.84</t>
  </si>
  <si>
    <t>154790.84-155790.84</t>
  </si>
  <si>
    <t>155790.84-156790.84</t>
  </si>
  <si>
    <t>156790.84-157790.84</t>
  </si>
  <si>
    <t>157790.84-158790.84</t>
  </si>
  <si>
    <t>158790.84-159790.84</t>
  </si>
  <si>
    <t>159790.84-160790.84</t>
  </si>
  <si>
    <t>160790.84-161790.84</t>
  </si>
  <si>
    <t>161790.84-162790.84</t>
  </si>
  <si>
    <t>162790.84-163790.84</t>
  </si>
  <si>
    <t>165790.84-166790.84</t>
  </si>
  <si>
    <t>166790.84-167790.84</t>
  </si>
  <si>
    <t>167790.84-168790.84</t>
  </si>
  <si>
    <t>168790.84-169790.84</t>
  </si>
  <si>
    <t>169790.84-170790.84</t>
  </si>
  <si>
    <t>170790.84-171790.84</t>
  </si>
  <si>
    <t>171790.84-172790.84</t>
  </si>
  <si>
    <t>172790.84-173790.84</t>
  </si>
  <si>
    <t>173790.84-174790.84</t>
  </si>
  <si>
    <t>174790.84-175790.84</t>
  </si>
  <si>
    <t>175790.84-176790.84</t>
  </si>
  <si>
    <t>177790.84-178790.84</t>
  </si>
  <si>
    <t>178790.84-179790.84</t>
  </si>
  <si>
    <t>179790.84-180790.84</t>
  </si>
  <si>
    <t>180790.84-181790.84</t>
  </si>
  <si>
    <t>181790.84-182790.84</t>
  </si>
  <si>
    <t>184790.84-185790.84</t>
  </si>
  <si>
    <t>187790.84-188790.84</t>
  </si>
  <si>
    <t>188790.84-189790.84</t>
  </si>
  <si>
    <t>189790.84-190790.84</t>
  </si>
  <si>
    <t>190790.84-191790.84</t>
  </si>
  <si>
    <t>193790.84-194790.84</t>
  </si>
  <si>
    <t>194790.84-195790.84</t>
  </si>
  <si>
    <t>198790.84-199790.84</t>
  </si>
  <si>
    <t>200790.84-201790.84</t>
  </si>
  <si>
    <t>202790.84-203790.84</t>
  </si>
  <si>
    <t>203790.84-204790.84</t>
  </si>
  <si>
    <t>205790.84-206790.84</t>
  </si>
  <si>
    <t>207790.84-208790.84</t>
  </si>
  <si>
    <t>208790.84-209790.84</t>
  </si>
  <si>
    <t>212790.84-213790.84</t>
  </si>
  <si>
    <t>215790.84-216790.84</t>
  </si>
  <si>
    <t>216790.84-217790.84</t>
  </si>
  <si>
    <t>217790.84-218790.84</t>
  </si>
  <si>
    <t>218790.84-219790.84</t>
  </si>
  <si>
    <t>220790.84-221790.84</t>
  </si>
  <si>
    <t>222790.84-223790.84</t>
  </si>
  <si>
    <t>227790.84-228790.84</t>
  </si>
  <si>
    <t>229790.84-230790.84</t>
  </si>
  <si>
    <t>232790.84-233790.84</t>
  </si>
  <si>
    <t>234790.84-235790.84</t>
  </si>
  <si>
    <t>238790.84-239790.84</t>
  </si>
  <si>
    <t>239790.84-240790.84</t>
  </si>
  <si>
    <t>250790.84-251790.84</t>
  </si>
  <si>
    <t>253790.84-254790.84</t>
  </si>
  <si>
    <t>254790.84-255790.84</t>
  </si>
  <si>
    <t>262790.84-263790.84</t>
  </si>
  <si>
    <t>277790.84-278790.84</t>
  </si>
  <si>
    <t>282790.84-283790.84</t>
  </si>
  <si>
    <t>283790.84-284790.84</t>
  </si>
  <si>
    <t>285790.84-286790.84</t>
  </si>
  <si>
    <t>290790.84-291790.84</t>
  </si>
  <si>
    <t>Customer Churn Analysis Dashboard</t>
  </si>
  <si>
    <t>Total Customers</t>
  </si>
  <si>
    <t>Churned Customers</t>
  </si>
  <si>
    <t>Churn Rate</t>
  </si>
  <si>
    <t>Retained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</si>
</sst>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 vertical="top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6" fillId="0" borderId="0" xfId="0" applyFont="1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[Customer_Churn_Analysis_Dataset.xlsx]Internet Churn!PivotTable4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'Internet Churn'!$A$5:$A$8</c:f>
              <c:strCache>
                <c:ptCount val="3"/>
                <c:pt idx="0">
                  <c:v>DSL</c:v>
                </c:pt>
                <c:pt idx="1">
                  <c:v>Fiber</c:v>
                </c:pt>
                <c:pt idx="2">
                  <c:v>No</c:v>
                </c:pt>
              </c:strCache>
            </c:strRef>
          </c:cat>
          <c:val>
            <c:numRef>
              <c:f>'Internet Churn'!$B$5:$B$8</c:f>
              <c:numCache>
                <c:formatCode>General</c:formatCode>
                <c:ptCount val="3"/>
                <c:pt idx="0">
                  <c:v>96</c:v>
                </c:pt>
                <c:pt idx="1">
                  <c:v>93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C-44E7-804E-9F86A40D8244}"/>
            </c:ext>
          </c:extLst>
        </c:ser>
        <c:ser>
          <c:idx val="1"/>
          <c:order val="1"/>
          <c:tx>
            <c:strRef>
              <c:f>'Internet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'Internet Churn'!$A$5:$A$8</c:f>
              <c:strCache>
                <c:ptCount val="3"/>
                <c:pt idx="0">
                  <c:v>DSL</c:v>
                </c:pt>
                <c:pt idx="1">
                  <c:v>Fiber</c:v>
                </c:pt>
                <c:pt idx="2">
                  <c:v>No</c:v>
                </c:pt>
              </c:strCache>
            </c:strRef>
          </c:cat>
          <c:val>
            <c:numRef>
              <c:f>'Internet Churn'!$C$5:$C$8</c:f>
              <c:numCache>
                <c:formatCode>General</c:formatCode>
                <c:ptCount val="3"/>
                <c:pt idx="0">
                  <c:v>60</c:v>
                </c:pt>
                <c:pt idx="1">
                  <c:v>67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C-44E7-804E-9F86A40D8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190847"/>
        <c:axId val="567184175"/>
      </c:barChart>
      <c:catAx>
        <c:axId val="86719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184175"/>
        <c:crosses val="autoZero"/>
        <c:auto val="1"/>
        <c:lblAlgn val="ctr"/>
        <c:lblOffset val="100"/>
        <c:noMultiLvlLbl val="0"/>
      </c:catAx>
      <c:valAx>
        <c:axId val="56718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9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[Customer_Churn_Analysis_Dataset.xlsx]Contract Churn!PivotTable2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Churn'!$B$5:$B$8</c:f>
              <c:numCache>
                <c:formatCode>General</c:formatCode>
                <c:ptCount val="3"/>
                <c:pt idx="0">
                  <c:v>150</c:v>
                </c:pt>
                <c:pt idx="1">
                  <c:v>80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5-4B2F-83DA-26894846A1E7}"/>
            </c:ext>
          </c:extLst>
        </c:ser>
        <c:ser>
          <c:idx val="1"/>
          <c:order val="1"/>
          <c:tx>
            <c:strRef>
              <c:f>'Contract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Churn'!$C$5:$C$8</c:f>
              <c:numCache>
                <c:formatCode>General</c:formatCode>
                <c:ptCount val="3"/>
                <c:pt idx="0">
                  <c:v>129</c:v>
                </c:pt>
                <c:pt idx="1">
                  <c:v>39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15-4B2F-83DA-26894846A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051871"/>
        <c:axId val="689488431"/>
      </c:barChart>
      <c:catAx>
        <c:axId val="86705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88431"/>
        <c:crosses val="autoZero"/>
        <c:auto val="1"/>
        <c:lblAlgn val="ctr"/>
        <c:lblOffset val="100"/>
        <c:noMultiLvlLbl val="0"/>
      </c:catAx>
      <c:valAx>
        <c:axId val="68948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5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[Customer_Churn_Analysis_Dataset.xlsx]Payment Churn!PivotTable5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Churn'!$A$5:$A$10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'Payment Churn'!$B$5:$B$10</c:f>
              <c:numCache>
                <c:formatCode>General</c:formatCode>
                <c:ptCount val="5"/>
                <c:pt idx="0">
                  <c:v>69</c:v>
                </c:pt>
                <c:pt idx="1">
                  <c:v>50</c:v>
                </c:pt>
                <c:pt idx="2">
                  <c:v>48</c:v>
                </c:pt>
                <c:pt idx="3">
                  <c:v>66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FF6-A1FD-72B144917E38}"/>
            </c:ext>
          </c:extLst>
        </c:ser>
        <c:ser>
          <c:idx val="1"/>
          <c:order val="1"/>
          <c:tx>
            <c:strRef>
              <c:f>'Payment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Churn'!$A$5:$A$10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'Payment Churn'!$C$5:$C$10</c:f>
              <c:numCache>
                <c:formatCode>General</c:formatCode>
                <c:ptCount val="5"/>
                <c:pt idx="0">
                  <c:v>48</c:v>
                </c:pt>
                <c:pt idx="1">
                  <c:v>42</c:v>
                </c:pt>
                <c:pt idx="2">
                  <c:v>33</c:v>
                </c:pt>
                <c:pt idx="3">
                  <c:v>42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FF6-A1FD-72B144917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194559"/>
        <c:axId val="689462031"/>
      </c:barChart>
      <c:catAx>
        <c:axId val="86719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62031"/>
        <c:crosses val="autoZero"/>
        <c:auto val="1"/>
        <c:lblAlgn val="ctr"/>
        <c:lblOffset val="100"/>
        <c:noMultiLvlLbl val="0"/>
      </c:catAx>
      <c:valAx>
        <c:axId val="6894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9455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[Customer_Churn_Analysis_Dataset.xlsx]Age Group Churn!PivotTable8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Group Churn'!$A$5:$A$10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55+</c:v>
                </c:pt>
                <c:pt idx="4">
                  <c:v>Under 25</c:v>
                </c:pt>
              </c:strCache>
            </c:strRef>
          </c:cat>
          <c:val>
            <c:numRef>
              <c:f>'Age Group Churn'!$B$5:$B$10</c:f>
              <c:numCache>
                <c:formatCode>General</c:formatCode>
                <c:ptCount val="5"/>
                <c:pt idx="0">
                  <c:v>57</c:v>
                </c:pt>
                <c:pt idx="1">
                  <c:v>58</c:v>
                </c:pt>
                <c:pt idx="2">
                  <c:v>68</c:v>
                </c:pt>
                <c:pt idx="3">
                  <c:v>74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C-42FC-8FAA-6E5F8D564FB7}"/>
            </c:ext>
          </c:extLst>
        </c:ser>
        <c:ser>
          <c:idx val="1"/>
          <c:order val="1"/>
          <c:tx>
            <c:strRef>
              <c:f>'Age Group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Group Churn'!$A$5:$A$10</c:f>
              <c:strCache>
                <c:ptCount val="5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55+</c:v>
                </c:pt>
                <c:pt idx="4">
                  <c:v>Under 25</c:v>
                </c:pt>
              </c:strCache>
            </c:strRef>
          </c:cat>
          <c:val>
            <c:numRef>
              <c:f>'Age Group Churn'!$C$5:$C$10</c:f>
              <c:numCache>
                <c:formatCode>General</c:formatCode>
                <c:ptCount val="5"/>
                <c:pt idx="0">
                  <c:v>41</c:v>
                </c:pt>
                <c:pt idx="1">
                  <c:v>37</c:v>
                </c:pt>
                <c:pt idx="2">
                  <c:v>42</c:v>
                </c:pt>
                <c:pt idx="3">
                  <c:v>59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5C-42FC-8FAA-6E5F8D564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870991"/>
        <c:axId val="967913903"/>
      </c:barChart>
      <c:catAx>
        <c:axId val="96787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13903"/>
        <c:crosses val="autoZero"/>
        <c:auto val="1"/>
        <c:lblAlgn val="ctr"/>
        <c:lblOffset val="100"/>
        <c:noMultiLvlLbl val="0"/>
      </c:catAx>
      <c:valAx>
        <c:axId val="96791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7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[Customer_Churn_Analysis_Dataset.xlsx]Tenure Churn!PivotTable9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'Tenure Churn'!$B$3:$B$4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'Tenure Churn'!$A$5:$A$65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'Tenure Churn'!$B$5:$B$65</c:f>
              <c:numCache>
                <c:formatCode>General</c:formatCode>
                <c:ptCount val="60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8</c:v>
                </c:pt>
                <c:pt idx="7">
                  <c:v>6</c:v>
                </c:pt>
                <c:pt idx="8">
                  <c:v>2</c:v>
                </c:pt>
                <c:pt idx="9">
                  <c:v>7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7</c:v>
                </c:pt>
                <c:pt idx="15">
                  <c:v>6</c:v>
                </c:pt>
                <c:pt idx="16">
                  <c:v>2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2</c:v>
                </c:pt>
                <c:pt idx="22">
                  <c:v>6</c:v>
                </c:pt>
                <c:pt idx="23">
                  <c:v>6</c:v>
                </c:pt>
                <c:pt idx="24">
                  <c:v>7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7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3</c:v>
                </c:pt>
                <c:pt idx="35">
                  <c:v>12</c:v>
                </c:pt>
                <c:pt idx="36">
                  <c:v>6</c:v>
                </c:pt>
                <c:pt idx="37">
                  <c:v>7</c:v>
                </c:pt>
                <c:pt idx="38">
                  <c:v>4</c:v>
                </c:pt>
                <c:pt idx="39">
                  <c:v>10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3</c:v>
                </c:pt>
                <c:pt idx="48">
                  <c:v>11</c:v>
                </c:pt>
                <c:pt idx="49">
                  <c:v>2</c:v>
                </c:pt>
                <c:pt idx="50">
                  <c:v>5</c:v>
                </c:pt>
                <c:pt idx="51">
                  <c:v>7</c:v>
                </c:pt>
                <c:pt idx="52">
                  <c:v>5</c:v>
                </c:pt>
                <c:pt idx="53">
                  <c:v>3</c:v>
                </c:pt>
                <c:pt idx="54">
                  <c:v>5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5</c:v>
                </c:pt>
                <c:pt idx="5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9-432F-867A-1D8C7CAB0D1E}"/>
            </c:ext>
          </c:extLst>
        </c:ser>
        <c:ser>
          <c:idx val="1"/>
          <c:order val="1"/>
          <c:tx>
            <c:strRef>
              <c:f>'Tenure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'Tenure Churn'!$A$5:$A$65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'Tenure Churn'!$C$5:$C$65</c:f>
              <c:numCache>
                <c:formatCode>General</c:formatCode>
                <c:ptCount val="60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8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4</c:v>
                </c:pt>
                <c:pt idx="17">
                  <c:v>1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1</c:v>
                </c:pt>
                <c:pt idx="31">
                  <c:v>4</c:v>
                </c:pt>
                <c:pt idx="32">
                  <c:v>2</c:v>
                </c:pt>
                <c:pt idx="33">
                  <c:v>5</c:v>
                </c:pt>
                <c:pt idx="36">
                  <c:v>2</c:v>
                </c:pt>
                <c:pt idx="37">
                  <c:v>4</c:v>
                </c:pt>
                <c:pt idx="38">
                  <c:v>3</c:v>
                </c:pt>
                <c:pt idx="39">
                  <c:v>5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4</c:v>
                </c:pt>
                <c:pt idx="44">
                  <c:v>5</c:v>
                </c:pt>
                <c:pt idx="45">
                  <c:v>4</c:v>
                </c:pt>
                <c:pt idx="46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5</c:v>
                </c:pt>
                <c:pt idx="51">
                  <c:v>2</c:v>
                </c:pt>
                <c:pt idx="52">
                  <c:v>3</c:v>
                </c:pt>
                <c:pt idx="53">
                  <c:v>1</c:v>
                </c:pt>
                <c:pt idx="54">
                  <c:v>5</c:v>
                </c:pt>
                <c:pt idx="55">
                  <c:v>3</c:v>
                </c:pt>
                <c:pt idx="56">
                  <c:v>5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29-432F-867A-1D8C7CAB0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864959"/>
        <c:axId val="967950863"/>
      </c:lineChart>
      <c:catAx>
        <c:axId val="96786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50863"/>
        <c:crosses val="autoZero"/>
        <c:auto val="1"/>
        <c:lblAlgn val="ctr"/>
        <c:lblOffset val="100"/>
        <c:noMultiLvlLbl val="0"/>
      </c:catAx>
      <c:valAx>
        <c:axId val="96795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86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[Customer_Churn_Analysis_Dataset.xlsx]Monthly Charges Churn!PivotTable10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Charges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Charges Churn'!$A$5:$A$201</c:f>
              <c:strCache>
                <c:ptCount val="196"/>
                <c:pt idx="0">
                  <c:v>509.7-529.7</c:v>
                </c:pt>
                <c:pt idx="1">
                  <c:v>529.7-549.7</c:v>
                </c:pt>
                <c:pt idx="2">
                  <c:v>549.7-569.7</c:v>
                </c:pt>
                <c:pt idx="3">
                  <c:v>569.7-589.7</c:v>
                </c:pt>
                <c:pt idx="4">
                  <c:v>589.7-609.7</c:v>
                </c:pt>
                <c:pt idx="5">
                  <c:v>609.7-629.7</c:v>
                </c:pt>
                <c:pt idx="6">
                  <c:v>629.7-649.7</c:v>
                </c:pt>
                <c:pt idx="7">
                  <c:v>649.7-669.7</c:v>
                </c:pt>
                <c:pt idx="8">
                  <c:v>669.7-689.7</c:v>
                </c:pt>
                <c:pt idx="9">
                  <c:v>689.7-709.7</c:v>
                </c:pt>
                <c:pt idx="10">
                  <c:v>709.7-729.7</c:v>
                </c:pt>
                <c:pt idx="11">
                  <c:v>729.7-749.7</c:v>
                </c:pt>
                <c:pt idx="12">
                  <c:v>749.7-769.7</c:v>
                </c:pt>
                <c:pt idx="13">
                  <c:v>769.7-789.7</c:v>
                </c:pt>
                <c:pt idx="14">
                  <c:v>789.7-809.7</c:v>
                </c:pt>
                <c:pt idx="15">
                  <c:v>809.7-829.7</c:v>
                </c:pt>
                <c:pt idx="16">
                  <c:v>829.7-849.7</c:v>
                </c:pt>
                <c:pt idx="17">
                  <c:v>849.7-869.7</c:v>
                </c:pt>
                <c:pt idx="18">
                  <c:v>869.7-889.7</c:v>
                </c:pt>
                <c:pt idx="19">
                  <c:v>889.7-909.7</c:v>
                </c:pt>
                <c:pt idx="20">
                  <c:v>909.7-929.7</c:v>
                </c:pt>
                <c:pt idx="21">
                  <c:v>929.7-949.7</c:v>
                </c:pt>
                <c:pt idx="22">
                  <c:v>949.7-969.7</c:v>
                </c:pt>
                <c:pt idx="23">
                  <c:v>969.7-989.7</c:v>
                </c:pt>
                <c:pt idx="24">
                  <c:v>989.7-1009.7</c:v>
                </c:pt>
                <c:pt idx="25">
                  <c:v>1009.7-1029.7</c:v>
                </c:pt>
                <c:pt idx="26">
                  <c:v>1029.7-1049.7</c:v>
                </c:pt>
                <c:pt idx="27">
                  <c:v>1049.7-1069.7</c:v>
                </c:pt>
                <c:pt idx="28">
                  <c:v>1069.7-1089.7</c:v>
                </c:pt>
                <c:pt idx="29">
                  <c:v>1089.7-1109.7</c:v>
                </c:pt>
                <c:pt idx="30">
                  <c:v>1109.7-1129.7</c:v>
                </c:pt>
                <c:pt idx="31">
                  <c:v>1129.7-1149.7</c:v>
                </c:pt>
                <c:pt idx="32">
                  <c:v>1169.7-1189.7</c:v>
                </c:pt>
                <c:pt idx="33">
                  <c:v>1189.7-1209.7</c:v>
                </c:pt>
                <c:pt idx="34">
                  <c:v>1209.7-1229.7</c:v>
                </c:pt>
                <c:pt idx="35">
                  <c:v>1229.7-1249.7</c:v>
                </c:pt>
                <c:pt idx="36">
                  <c:v>1249.7-1269.7</c:v>
                </c:pt>
                <c:pt idx="37">
                  <c:v>1269.7-1289.7</c:v>
                </c:pt>
                <c:pt idx="38">
                  <c:v>1289.7-1309.7</c:v>
                </c:pt>
                <c:pt idx="39">
                  <c:v>1309.7-1329.7</c:v>
                </c:pt>
                <c:pt idx="40">
                  <c:v>1329.7-1349.7</c:v>
                </c:pt>
                <c:pt idx="41">
                  <c:v>1349.7-1369.7</c:v>
                </c:pt>
                <c:pt idx="42">
                  <c:v>1389.7-1409.7</c:v>
                </c:pt>
                <c:pt idx="43">
                  <c:v>1409.7-1429.7</c:v>
                </c:pt>
                <c:pt idx="44">
                  <c:v>1429.7-1449.7</c:v>
                </c:pt>
                <c:pt idx="45">
                  <c:v>1449.7-1469.7</c:v>
                </c:pt>
                <c:pt idx="46">
                  <c:v>1469.7-1489.7</c:v>
                </c:pt>
                <c:pt idx="47">
                  <c:v>1489.7-1509.7</c:v>
                </c:pt>
                <c:pt idx="48">
                  <c:v>1509.7-1529.7</c:v>
                </c:pt>
                <c:pt idx="49">
                  <c:v>1529.7-1549.7</c:v>
                </c:pt>
                <c:pt idx="50">
                  <c:v>1589.7-1609.7</c:v>
                </c:pt>
                <c:pt idx="51">
                  <c:v>1609.7-1629.7</c:v>
                </c:pt>
                <c:pt idx="52">
                  <c:v>1629.7-1649.7</c:v>
                </c:pt>
                <c:pt idx="53">
                  <c:v>1649.7-1669.7</c:v>
                </c:pt>
                <c:pt idx="54">
                  <c:v>1669.7-1689.7</c:v>
                </c:pt>
                <c:pt idx="55">
                  <c:v>1689.7-1709.7</c:v>
                </c:pt>
                <c:pt idx="56">
                  <c:v>1709.7-1729.7</c:v>
                </c:pt>
                <c:pt idx="57">
                  <c:v>1729.7-1749.7</c:v>
                </c:pt>
                <c:pt idx="58">
                  <c:v>1749.7-1769.7</c:v>
                </c:pt>
                <c:pt idx="59">
                  <c:v>1769.7-1789.7</c:v>
                </c:pt>
                <c:pt idx="60">
                  <c:v>1789.7-1809.7</c:v>
                </c:pt>
                <c:pt idx="61">
                  <c:v>1809.7-1829.7</c:v>
                </c:pt>
                <c:pt idx="62">
                  <c:v>1829.7-1849.7</c:v>
                </c:pt>
                <c:pt idx="63">
                  <c:v>1849.7-1869.7</c:v>
                </c:pt>
                <c:pt idx="64">
                  <c:v>1869.7-1889.7</c:v>
                </c:pt>
                <c:pt idx="65">
                  <c:v>1889.7-1909.7</c:v>
                </c:pt>
                <c:pt idx="66">
                  <c:v>1909.7-1929.7</c:v>
                </c:pt>
                <c:pt idx="67">
                  <c:v>1929.7-1949.7</c:v>
                </c:pt>
                <c:pt idx="68">
                  <c:v>1969.7-1989.7</c:v>
                </c:pt>
                <c:pt idx="69">
                  <c:v>1989.7-2009.7</c:v>
                </c:pt>
                <c:pt idx="70">
                  <c:v>2009.7-2029.7</c:v>
                </c:pt>
                <c:pt idx="71">
                  <c:v>2049.7-2069.7</c:v>
                </c:pt>
                <c:pt idx="72">
                  <c:v>2069.7-2089.7</c:v>
                </c:pt>
                <c:pt idx="73">
                  <c:v>2089.7-2109.7</c:v>
                </c:pt>
                <c:pt idx="74">
                  <c:v>2109.7-2129.7</c:v>
                </c:pt>
                <c:pt idx="75">
                  <c:v>2129.7-2149.7</c:v>
                </c:pt>
                <c:pt idx="76">
                  <c:v>2149.7-2169.7</c:v>
                </c:pt>
                <c:pt idx="77">
                  <c:v>2169.7-2189.7</c:v>
                </c:pt>
                <c:pt idx="78">
                  <c:v>2189.7-2209.7</c:v>
                </c:pt>
                <c:pt idx="79">
                  <c:v>2209.7-2229.7</c:v>
                </c:pt>
                <c:pt idx="80">
                  <c:v>2229.7-2249.7</c:v>
                </c:pt>
                <c:pt idx="81">
                  <c:v>2249.7-2269.7</c:v>
                </c:pt>
                <c:pt idx="82">
                  <c:v>2269.7-2289.7</c:v>
                </c:pt>
                <c:pt idx="83">
                  <c:v>2289.7-2309.7</c:v>
                </c:pt>
                <c:pt idx="84">
                  <c:v>2309.7-2329.7</c:v>
                </c:pt>
                <c:pt idx="85">
                  <c:v>2329.7-2349.7</c:v>
                </c:pt>
                <c:pt idx="86">
                  <c:v>2349.7-2369.7</c:v>
                </c:pt>
                <c:pt idx="87">
                  <c:v>2369.7-2389.7</c:v>
                </c:pt>
                <c:pt idx="88">
                  <c:v>2409.7-2429.7</c:v>
                </c:pt>
                <c:pt idx="89">
                  <c:v>2429.7-2449.7</c:v>
                </c:pt>
                <c:pt idx="90">
                  <c:v>2449.7-2469.7</c:v>
                </c:pt>
                <c:pt idx="91">
                  <c:v>2469.7-2489.7</c:v>
                </c:pt>
                <c:pt idx="92">
                  <c:v>2489.7-2509.7</c:v>
                </c:pt>
                <c:pt idx="93">
                  <c:v>2509.7-2529.7</c:v>
                </c:pt>
                <c:pt idx="94">
                  <c:v>2529.7-2549.7</c:v>
                </c:pt>
                <c:pt idx="95">
                  <c:v>2549.7-2569.7</c:v>
                </c:pt>
                <c:pt idx="96">
                  <c:v>2569.7-2589.7</c:v>
                </c:pt>
                <c:pt idx="97">
                  <c:v>2629.7-2649.7</c:v>
                </c:pt>
                <c:pt idx="98">
                  <c:v>2669.7-2689.7</c:v>
                </c:pt>
                <c:pt idx="99">
                  <c:v>2689.7-2709.7</c:v>
                </c:pt>
                <c:pt idx="100">
                  <c:v>2729.7-2749.7</c:v>
                </c:pt>
                <c:pt idx="101">
                  <c:v>2749.7-2769.7</c:v>
                </c:pt>
                <c:pt idx="102">
                  <c:v>2769.7-2789.7</c:v>
                </c:pt>
                <c:pt idx="103">
                  <c:v>2789.7-2809.7</c:v>
                </c:pt>
                <c:pt idx="104">
                  <c:v>2809.7-2829.7</c:v>
                </c:pt>
                <c:pt idx="105">
                  <c:v>2829.7-2849.7</c:v>
                </c:pt>
                <c:pt idx="106">
                  <c:v>2849.7-2869.7</c:v>
                </c:pt>
                <c:pt idx="107">
                  <c:v>2869.7-2889.7</c:v>
                </c:pt>
                <c:pt idx="108">
                  <c:v>2889.7-2909.7</c:v>
                </c:pt>
                <c:pt idx="109">
                  <c:v>2909.7-2929.7</c:v>
                </c:pt>
                <c:pt idx="110">
                  <c:v>2929.7-2949.7</c:v>
                </c:pt>
                <c:pt idx="111">
                  <c:v>2949.7-2969.7</c:v>
                </c:pt>
                <c:pt idx="112">
                  <c:v>2969.7-2989.7</c:v>
                </c:pt>
                <c:pt idx="113">
                  <c:v>2989.7-3009.7</c:v>
                </c:pt>
                <c:pt idx="114">
                  <c:v>3009.7-3029.7</c:v>
                </c:pt>
                <c:pt idx="115">
                  <c:v>3029.7-3049.7</c:v>
                </c:pt>
                <c:pt idx="116">
                  <c:v>3069.7-3089.7</c:v>
                </c:pt>
                <c:pt idx="117">
                  <c:v>3089.7-3109.7</c:v>
                </c:pt>
                <c:pt idx="118">
                  <c:v>3109.7-3129.7</c:v>
                </c:pt>
                <c:pt idx="119">
                  <c:v>3129.7-3149.7</c:v>
                </c:pt>
                <c:pt idx="120">
                  <c:v>3149.7-3169.7</c:v>
                </c:pt>
                <c:pt idx="121">
                  <c:v>3169.7-3189.7</c:v>
                </c:pt>
                <c:pt idx="122">
                  <c:v>3189.7-3209.7</c:v>
                </c:pt>
                <c:pt idx="123">
                  <c:v>3209.7-3229.7</c:v>
                </c:pt>
                <c:pt idx="124">
                  <c:v>3229.7-3249.7</c:v>
                </c:pt>
                <c:pt idx="125">
                  <c:v>3249.7-3269.7</c:v>
                </c:pt>
                <c:pt idx="126">
                  <c:v>3269.7-3289.7</c:v>
                </c:pt>
                <c:pt idx="127">
                  <c:v>3309.7-3329.7</c:v>
                </c:pt>
                <c:pt idx="128">
                  <c:v>3349.7-3369.7</c:v>
                </c:pt>
                <c:pt idx="129">
                  <c:v>3369.7-3389.7</c:v>
                </c:pt>
                <c:pt idx="130">
                  <c:v>3389.7-3409.7</c:v>
                </c:pt>
                <c:pt idx="131">
                  <c:v>3409.7-3429.7</c:v>
                </c:pt>
                <c:pt idx="132">
                  <c:v>3429.7-3449.7</c:v>
                </c:pt>
                <c:pt idx="133">
                  <c:v>3449.7-3469.7</c:v>
                </c:pt>
                <c:pt idx="134">
                  <c:v>3469.7-3489.7</c:v>
                </c:pt>
                <c:pt idx="135">
                  <c:v>3489.7-3509.7</c:v>
                </c:pt>
                <c:pt idx="136">
                  <c:v>3509.7-3529.7</c:v>
                </c:pt>
                <c:pt idx="137">
                  <c:v>3529.7-3549.7</c:v>
                </c:pt>
                <c:pt idx="138">
                  <c:v>3549.7-3569.7</c:v>
                </c:pt>
                <c:pt idx="139">
                  <c:v>3569.7-3589.7</c:v>
                </c:pt>
                <c:pt idx="140">
                  <c:v>3629.7-3649.7</c:v>
                </c:pt>
                <c:pt idx="141">
                  <c:v>3649.7-3669.7</c:v>
                </c:pt>
                <c:pt idx="142">
                  <c:v>3669.7-3689.7</c:v>
                </c:pt>
                <c:pt idx="143">
                  <c:v>3689.7-3709.7</c:v>
                </c:pt>
                <c:pt idx="144">
                  <c:v>3709.7-3729.7</c:v>
                </c:pt>
                <c:pt idx="145">
                  <c:v>3729.7-3749.7</c:v>
                </c:pt>
                <c:pt idx="146">
                  <c:v>3749.7-3769.7</c:v>
                </c:pt>
                <c:pt idx="147">
                  <c:v>3789.7-3809.7</c:v>
                </c:pt>
                <c:pt idx="148">
                  <c:v>3809.7-3829.7</c:v>
                </c:pt>
                <c:pt idx="149">
                  <c:v>3829.7-3849.7</c:v>
                </c:pt>
                <c:pt idx="150">
                  <c:v>3849.7-3869.7</c:v>
                </c:pt>
                <c:pt idx="151">
                  <c:v>3869.7-3889.7</c:v>
                </c:pt>
                <c:pt idx="152">
                  <c:v>3889.7-3909.7</c:v>
                </c:pt>
                <c:pt idx="153">
                  <c:v>3949.7-3969.7</c:v>
                </c:pt>
                <c:pt idx="154">
                  <c:v>3969.7-3989.7</c:v>
                </c:pt>
                <c:pt idx="155">
                  <c:v>3989.7-4009.7</c:v>
                </c:pt>
                <c:pt idx="156">
                  <c:v>4009.7-4029.7</c:v>
                </c:pt>
                <c:pt idx="157">
                  <c:v>4029.7-4049.7</c:v>
                </c:pt>
                <c:pt idx="158">
                  <c:v>4089.7-4109.7</c:v>
                </c:pt>
                <c:pt idx="159">
                  <c:v>4109.7-4129.7</c:v>
                </c:pt>
                <c:pt idx="160">
                  <c:v>4149.7-4169.7</c:v>
                </c:pt>
                <c:pt idx="161">
                  <c:v>4169.7-4189.7</c:v>
                </c:pt>
                <c:pt idx="162">
                  <c:v>4189.7-4209.7</c:v>
                </c:pt>
                <c:pt idx="163">
                  <c:v>4229.7-4249.7</c:v>
                </c:pt>
                <c:pt idx="164">
                  <c:v>4249.7-4269.7</c:v>
                </c:pt>
                <c:pt idx="165">
                  <c:v>4269.7-4289.7</c:v>
                </c:pt>
                <c:pt idx="166">
                  <c:v>4289.7-4309.7</c:v>
                </c:pt>
                <c:pt idx="167">
                  <c:v>4309.7-4329.7</c:v>
                </c:pt>
                <c:pt idx="168">
                  <c:v>4329.7-4349.7</c:v>
                </c:pt>
                <c:pt idx="169">
                  <c:v>4369.7-4389.7</c:v>
                </c:pt>
                <c:pt idx="170">
                  <c:v>4389.7-4409.7</c:v>
                </c:pt>
                <c:pt idx="171">
                  <c:v>4409.7-4429.7</c:v>
                </c:pt>
                <c:pt idx="172">
                  <c:v>4429.7-4449.7</c:v>
                </c:pt>
                <c:pt idx="173">
                  <c:v>4449.7-4469.7</c:v>
                </c:pt>
                <c:pt idx="174">
                  <c:v>4469.7-4489.7</c:v>
                </c:pt>
                <c:pt idx="175">
                  <c:v>4489.7-4509.7</c:v>
                </c:pt>
                <c:pt idx="176">
                  <c:v>4509.7-4529.7</c:v>
                </c:pt>
                <c:pt idx="177">
                  <c:v>4529.7-4549.7</c:v>
                </c:pt>
                <c:pt idx="178">
                  <c:v>4549.7-4569.7</c:v>
                </c:pt>
                <c:pt idx="179">
                  <c:v>4589.7-4609.7</c:v>
                </c:pt>
                <c:pt idx="180">
                  <c:v>4609.7-4629.7</c:v>
                </c:pt>
                <c:pt idx="181">
                  <c:v>4629.7-4649.7</c:v>
                </c:pt>
                <c:pt idx="182">
                  <c:v>4649.7-4669.7</c:v>
                </c:pt>
                <c:pt idx="183">
                  <c:v>4669.7-4689.7</c:v>
                </c:pt>
                <c:pt idx="184">
                  <c:v>4689.7-4709.7</c:v>
                </c:pt>
                <c:pt idx="185">
                  <c:v>4729.7-4749.7</c:v>
                </c:pt>
                <c:pt idx="186">
                  <c:v>4749.7-4769.7</c:v>
                </c:pt>
                <c:pt idx="187">
                  <c:v>4769.7-4789.7</c:v>
                </c:pt>
                <c:pt idx="188">
                  <c:v>4829.7-4849.7</c:v>
                </c:pt>
                <c:pt idx="189">
                  <c:v>4869.7-4889.7</c:v>
                </c:pt>
                <c:pt idx="190">
                  <c:v>4889.7-4909.7</c:v>
                </c:pt>
                <c:pt idx="191">
                  <c:v>4909.7-4929.7</c:v>
                </c:pt>
                <c:pt idx="192">
                  <c:v>4929.7-4949.7</c:v>
                </c:pt>
                <c:pt idx="193">
                  <c:v>4949.7-4969.7</c:v>
                </c:pt>
                <c:pt idx="194">
                  <c:v>4969.7-4989.7</c:v>
                </c:pt>
                <c:pt idx="195">
                  <c:v>4989.7-5009.7</c:v>
                </c:pt>
              </c:strCache>
            </c:strRef>
          </c:cat>
          <c:val>
            <c:numRef>
              <c:f>'Monthly Charges Churn'!$B$5:$B$201</c:f>
              <c:numCache>
                <c:formatCode>General</c:formatCode>
                <c:ptCount val="19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7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5">
                  <c:v>3</c:v>
                </c:pt>
                <c:pt idx="36">
                  <c:v>2</c:v>
                </c:pt>
                <c:pt idx="38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4</c:v>
                </c:pt>
                <c:pt idx="47">
                  <c:v>5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4">
                  <c:v>2</c:v>
                </c:pt>
                <c:pt idx="55">
                  <c:v>2</c:v>
                </c:pt>
                <c:pt idx="57">
                  <c:v>1</c:v>
                </c:pt>
                <c:pt idx="60">
                  <c:v>1</c:v>
                </c:pt>
                <c:pt idx="61">
                  <c:v>4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6">
                  <c:v>1</c:v>
                </c:pt>
                <c:pt idx="67">
                  <c:v>3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4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79">
                  <c:v>2</c:v>
                </c:pt>
                <c:pt idx="81">
                  <c:v>1</c:v>
                </c:pt>
                <c:pt idx="82">
                  <c:v>3</c:v>
                </c:pt>
                <c:pt idx="83">
                  <c:v>3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4</c:v>
                </c:pt>
                <c:pt idx="90">
                  <c:v>3</c:v>
                </c:pt>
                <c:pt idx="91">
                  <c:v>1</c:v>
                </c:pt>
                <c:pt idx="92">
                  <c:v>1</c:v>
                </c:pt>
                <c:pt idx="94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2</c:v>
                </c:pt>
                <c:pt idx="107">
                  <c:v>1</c:v>
                </c:pt>
                <c:pt idx="108">
                  <c:v>1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2</c:v>
                </c:pt>
                <c:pt idx="113">
                  <c:v>3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3</c:v>
                </c:pt>
                <c:pt idx="119">
                  <c:v>1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3</c:v>
                </c:pt>
                <c:pt idx="124">
                  <c:v>2</c:v>
                </c:pt>
                <c:pt idx="125">
                  <c:v>1</c:v>
                </c:pt>
                <c:pt idx="127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2</c:v>
                </c:pt>
                <c:pt idx="136">
                  <c:v>1</c:v>
                </c:pt>
                <c:pt idx="139">
                  <c:v>3</c:v>
                </c:pt>
                <c:pt idx="141">
                  <c:v>2</c:v>
                </c:pt>
                <c:pt idx="142">
                  <c:v>3</c:v>
                </c:pt>
                <c:pt idx="143">
                  <c:v>1</c:v>
                </c:pt>
                <c:pt idx="147">
                  <c:v>2</c:v>
                </c:pt>
                <c:pt idx="149">
                  <c:v>1</c:v>
                </c:pt>
                <c:pt idx="151">
                  <c:v>4</c:v>
                </c:pt>
                <c:pt idx="152">
                  <c:v>3</c:v>
                </c:pt>
                <c:pt idx="153">
                  <c:v>2</c:v>
                </c:pt>
                <c:pt idx="154">
                  <c:v>1</c:v>
                </c:pt>
                <c:pt idx="155">
                  <c:v>4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60">
                  <c:v>1</c:v>
                </c:pt>
                <c:pt idx="161">
                  <c:v>2</c:v>
                </c:pt>
                <c:pt idx="162">
                  <c:v>2</c:v>
                </c:pt>
                <c:pt idx="164">
                  <c:v>1</c:v>
                </c:pt>
                <c:pt idx="165">
                  <c:v>3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3</c:v>
                </c:pt>
                <c:pt idx="170">
                  <c:v>1</c:v>
                </c:pt>
                <c:pt idx="171">
                  <c:v>1</c:v>
                </c:pt>
                <c:pt idx="173">
                  <c:v>1</c:v>
                </c:pt>
                <c:pt idx="174">
                  <c:v>1</c:v>
                </c:pt>
                <c:pt idx="176">
                  <c:v>3</c:v>
                </c:pt>
                <c:pt idx="177">
                  <c:v>4</c:v>
                </c:pt>
                <c:pt idx="178">
                  <c:v>1</c:v>
                </c:pt>
                <c:pt idx="179">
                  <c:v>3</c:v>
                </c:pt>
                <c:pt idx="182">
                  <c:v>1</c:v>
                </c:pt>
                <c:pt idx="186">
                  <c:v>1</c:v>
                </c:pt>
                <c:pt idx="188">
                  <c:v>2</c:v>
                </c:pt>
                <c:pt idx="189">
                  <c:v>1</c:v>
                </c:pt>
                <c:pt idx="191">
                  <c:v>3</c:v>
                </c:pt>
                <c:pt idx="192">
                  <c:v>1</c:v>
                </c:pt>
                <c:pt idx="193">
                  <c:v>1</c:v>
                </c:pt>
                <c:pt idx="194">
                  <c:v>2</c:v>
                </c:pt>
                <c:pt idx="19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B-4067-9C37-460839802031}"/>
            </c:ext>
          </c:extLst>
        </c:ser>
        <c:ser>
          <c:idx val="1"/>
          <c:order val="1"/>
          <c:tx>
            <c:strRef>
              <c:f>'Monthly Charges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Charges Churn'!$A$5:$A$201</c:f>
              <c:strCache>
                <c:ptCount val="196"/>
                <c:pt idx="0">
                  <c:v>509.7-529.7</c:v>
                </c:pt>
                <c:pt idx="1">
                  <c:v>529.7-549.7</c:v>
                </c:pt>
                <c:pt idx="2">
                  <c:v>549.7-569.7</c:v>
                </c:pt>
                <c:pt idx="3">
                  <c:v>569.7-589.7</c:v>
                </c:pt>
                <c:pt idx="4">
                  <c:v>589.7-609.7</c:v>
                </c:pt>
                <c:pt idx="5">
                  <c:v>609.7-629.7</c:v>
                </c:pt>
                <c:pt idx="6">
                  <c:v>629.7-649.7</c:v>
                </c:pt>
                <c:pt idx="7">
                  <c:v>649.7-669.7</c:v>
                </c:pt>
                <c:pt idx="8">
                  <c:v>669.7-689.7</c:v>
                </c:pt>
                <c:pt idx="9">
                  <c:v>689.7-709.7</c:v>
                </c:pt>
                <c:pt idx="10">
                  <c:v>709.7-729.7</c:v>
                </c:pt>
                <c:pt idx="11">
                  <c:v>729.7-749.7</c:v>
                </c:pt>
                <c:pt idx="12">
                  <c:v>749.7-769.7</c:v>
                </c:pt>
                <c:pt idx="13">
                  <c:v>769.7-789.7</c:v>
                </c:pt>
                <c:pt idx="14">
                  <c:v>789.7-809.7</c:v>
                </c:pt>
                <c:pt idx="15">
                  <c:v>809.7-829.7</c:v>
                </c:pt>
                <c:pt idx="16">
                  <c:v>829.7-849.7</c:v>
                </c:pt>
                <c:pt idx="17">
                  <c:v>849.7-869.7</c:v>
                </c:pt>
                <c:pt idx="18">
                  <c:v>869.7-889.7</c:v>
                </c:pt>
                <c:pt idx="19">
                  <c:v>889.7-909.7</c:v>
                </c:pt>
                <c:pt idx="20">
                  <c:v>909.7-929.7</c:v>
                </c:pt>
                <c:pt idx="21">
                  <c:v>929.7-949.7</c:v>
                </c:pt>
                <c:pt idx="22">
                  <c:v>949.7-969.7</c:v>
                </c:pt>
                <c:pt idx="23">
                  <c:v>969.7-989.7</c:v>
                </c:pt>
                <c:pt idx="24">
                  <c:v>989.7-1009.7</c:v>
                </c:pt>
                <c:pt idx="25">
                  <c:v>1009.7-1029.7</c:v>
                </c:pt>
                <c:pt idx="26">
                  <c:v>1029.7-1049.7</c:v>
                </c:pt>
                <c:pt idx="27">
                  <c:v>1049.7-1069.7</c:v>
                </c:pt>
                <c:pt idx="28">
                  <c:v>1069.7-1089.7</c:v>
                </c:pt>
                <c:pt idx="29">
                  <c:v>1089.7-1109.7</c:v>
                </c:pt>
                <c:pt idx="30">
                  <c:v>1109.7-1129.7</c:v>
                </c:pt>
                <c:pt idx="31">
                  <c:v>1129.7-1149.7</c:v>
                </c:pt>
                <c:pt idx="32">
                  <c:v>1169.7-1189.7</c:v>
                </c:pt>
                <c:pt idx="33">
                  <c:v>1189.7-1209.7</c:v>
                </c:pt>
                <c:pt idx="34">
                  <c:v>1209.7-1229.7</c:v>
                </c:pt>
                <c:pt idx="35">
                  <c:v>1229.7-1249.7</c:v>
                </c:pt>
                <c:pt idx="36">
                  <c:v>1249.7-1269.7</c:v>
                </c:pt>
                <c:pt idx="37">
                  <c:v>1269.7-1289.7</c:v>
                </c:pt>
                <c:pt idx="38">
                  <c:v>1289.7-1309.7</c:v>
                </c:pt>
                <c:pt idx="39">
                  <c:v>1309.7-1329.7</c:v>
                </c:pt>
                <c:pt idx="40">
                  <c:v>1329.7-1349.7</c:v>
                </c:pt>
                <c:pt idx="41">
                  <c:v>1349.7-1369.7</c:v>
                </c:pt>
                <c:pt idx="42">
                  <c:v>1389.7-1409.7</c:v>
                </c:pt>
                <c:pt idx="43">
                  <c:v>1409.7-1429.7</c:v>
                </c:pt>
                <c:pt idx="44">
                  <c:v>1429.7-1449.7</c:v>
                </c:pt>
                <c:pt idx="45">
                  <c:v>1449.7-1469.7</c:v>
                </c:pt>
                <c:pt idx="46">
                  <c:v>1469.7-1489.7</c:v>
                </c:pt>
                <c:pt idx="47">
                  <c:v>1489.7-1509.7</c:v>
                </c:pt>
                <c:pt idx="48">
                  <c:v>1509.7-1529.7</c:v>
                </c:pt>
                <c:pt idx="49">
                  <c:v>1529.7-1549.7</c:v>
                </c:pt>
                <c:pt idx="50">
                  <c:v>1589.7-1609.7</c:v>
                </c:pt>
                <c:pt idx="51">
                  <c:v>1609.7-1629.7</c:v>
                </c:pt>
                <c:pt idx="52">
                  <c:v>1629.7-1649.7</c:v>
                </c:pt>
                <c:pt idx="53">
                  <c:v>1649.7-1669.7</c:v>
                </c:pt>
                <c:pt idx="54">
                  <c:v>1669.7-1689.7</c:v>
                </c:pt>
                <c:pt idx="55">
                  <c:v>1689.7-1709.7</c:v>
                </c:pt>
                <c:pt idx="56">
                  <c:v>1709.7-1729.7</c:v>
                </c:pt>
                <c:pt idx="57">
                  <c:v>1729.7-1749.7</c:v>
                </c:pt>
                <c:pt idx="58">
                  <c:v>1749.7-1769.7</c:v>
                </c:pt>
                <c:pt idx="59">
                  <c:v>1769.7-1789.7</c:v>
                </c:pt>
                <c:pt idx="60">
                  <c:v>1789.7-1809.7</c:v>
                </c:pt>
                <c:pt idx="61">
                  <c:v>1809.7-1829.7</c:v>
                </c:pt>
                <c:pt idx="62">
                  <c:v>1829.7-1849.7</c:v>
                </c:pt>
                <c:pt idx="63">
                  <c:v>1849.7-1869.7</c:v>
                </c:pt>
                <c:pt idx="64">
                  <c:v>1869.7-1889.7</c:v>
                </c:pt>
                <c:pt idx="65">
                  <c:v>1889.7-1909.7</c:v>
                </c:pt>
                <c:pt idx="66">
                  <c:v>1909.7-1929.7</c:v>
                </c:pt>
                <c:pt idx="67">
                  <c:v>1929.7-1949.7</c:v>
                </c:pt>
                <c:pt idx="68">
                  <c:v>1969.7-1989.7</c:v>
                </c:pt>
                <c:pt idx="69">
                  <c:v>1989.7-2009.7</c:v>
                </c:pt>
                <c:pt idx="70">
                  <c:v>2009.7-2029.7</c:v>
                </c:pt>
                <c:pt idx="71">
                  <c:v>2049.7-2069.7</c:v>
                </c:pt>
                <c:pt idx="72">
                  <c:v>2069.7-2089.7</c:v>
                </c:pt>
                <c:pt idx="73">
                  <c:v>2089.7-2109.7</c:v>
                </c:pt>
                <c:pt idx="74">
                  <c:v>2109.7-2129.7</c:v>
                </c:pt>
                <c:pt idx="75">
                  <c:v>2129.7-2149.7</c:v>
                </c:pt>
                <c:pt idx="76">
                  <c:v>2149.7-2169.7</c:v>
                </c:pt>
                <c:pt idx="77">
                  <c:v>2169.7-2189.7</c:v>
                </c:pt>
                <c:pt idx="78">
                  <c:v>2189.7-2209.7</c:v>
                </c:pt>
                <c:pt idx="79">
                  <c:v>2209.7-2229.7</c:v>
                </c:pt>
                <c:pt idx="80">
                  <c:v>2229.7-2249.7</c:v>
                </c:pt>
                <c:pt idx="81">
                  <c:v>2249.7-2269.7</c:v>
                </c:pt>
                <c:pt idx="82">
                  <c:v>2269.7-2289.7</c:v>
                </c:pt>
                <c:pt idx="83">
                  <c:v>2289.7-2309.7</c:v>
                </c:pt>
                <c:pt idx="84">
                  <c:v>2309.7-2329.7</c:v>
                </c:pt>
                <c:pt idx="85">
                  <c:v>2329.7-2349.7</c:v>
                </c:pt>
                <c:pt idx="86">
                  <c:v>2349.7-2369.7</c:v>
                </c:pt>
                <c:pt idx="87">
                  <c:v>2369.7-2389.7</c:v>
                </c:pt>
                <c:pt idx="88">
                  <c:v>2409.7-2429.7</c:v>
                </c:pt>
                <c:pt idx="89">
                  <c:v>2429.7-2449.7</c:v>
                </c:pt>
                <c:pt idx="90">
                  <c:v>2449.7-2469.7</c:v>
                </c:pt>
                <c:pt idx="91">
                  <c:v>2469.7-2489.7</c:v>
                </c:pt>
                <c:pt idx="92">
                  <c:v>2489.7-2509.7</c:v>
                </c:pt>
                <c:pt idx="93">
                  <c:v>2509.7-2529.7</c:v>
                </c:pt>
                <c:pt idx="94">
                  <c:v>2529.7-2549.7</c:v>
                </c:pt>
                <c:pt idx="95">
                  <c:v>2549.7-2569.7</c:v>
                </c:pt>
                <c:pt idx="96">
                  <c:v>2569.7-2589.7</c:v>
                </c:pt>
                <c:pt idx="97">
                  <c:v>2629.7-2649.7</c:v>
                </c:pt>
                <c:pt idx="98">
                  <c:v>2669.7-2689.7</c:v>
                </c:pt>
                <c:pt idx="99">
                  <c:v>2689.7-2709.7</c:v>
                </c:pt>
                <c:pt idx="100">
                  <c:v>2729.7-2749.7</c:v>
                </c:pt>
                <c:pt idx="101">
                  <c:v>2749.7-2769.7</c:v>
                </c:pt>
                <c:pt idx="102">
                  <c:v>2769.7-2789.7</c:v>
                </c:pt>
                <c:pt idx="103">
                  <c:v>2789.7-2809.7</c:v>
                </c:pt>
                <c:pt idx="104">
                  <c:v>2809.7-2829.7</c:v>
                </c:pt>
                <c:pt idx="105">
                  <c:v>2829.7-2849.7</c:v>
                </c:pt>
                <c:pt idx="106">
                  <c:v>2849.7-2869.7</c:v>
                </c:pt>
                <c:pt idx="107">
                  <c:v>2869.7-2889.7</c:v>
                </c:pt>
                <c:pt idx="108">
                  <c:v>2889.7-2909.7</c:v>
                </c:pt>
                <c:pt idx="109">
                  <c:v>2909.7-2929.7</c:v>
                </c:pt>
                <c:pt idx="110">
                  <c:v>2929.7-2949.7</c:v>
                </c:pt>
                <c:pt idx="111">
                  <c:v>2949.7-2969.7</c:v>
                </c:pt>
                <c:pt idx="112">
                  <c:v>2969.7-2989.7</c:v>
                </c:pt>
                <c:pt idx="113">
                  <c:v>2989.7-3009.7</c:v>
                </c:pt>
                <c:pt idx="114">
                  <c:v>3009.7-3029.7</c:v>
                </c:pt>
                <c:pt idx="115">
                  <c:v>3029.7-3049.7</c:v>
                </c:pt>
                <c:pt idx="116">
                  <c:v>3069.7-3089.7</c:v>
                </c:pt>
                <c:pt idx="117">
                  <c:v>3089.7-3109.7</c:v>
                </c:pt>
                <c:pt idx="118">
                  <c:v>3109.7-3129.7</c:v>
                </c:pt>
                <c:pt idx="119">
                  <c:v>3129.7-3149.7</c:v>
                </c:pt>
                <c:pt idx="120">
                  <c:v>3149.7-3169.7</c:v>
                </c:pt>
                <c:pt idx="121">
                  <c:v>3169.7-3189.7</c:v>
                </c:pt>
                <c:pt idx="122">
                  <c:v>3189.7-3209.7</c:v>
                </c:pt>
                <c:pt idx="123">
                  <c:v>3209.7-3229.7</c:v>
                </c:pt>
                <c:pt idx="124">
                  <c:v>3229.7-3249.7</c:v>
                </c:pt>
                <c:pt idx="125">
                  <c:v>3249.7-3269.7</c:v>
                </c:pt>
                <c:pt idx="126">
                  <c:v>3269.7-3289.7</c:v>
                </c:pt>
                <c:pt idx="127">
                  <c:v>3309.7-3329.7</c:v>
                </c:pt>
                <c:pt idx="128">
                  <c:v>3349.7-3369.7</c:v>
                </c:pt>
                <c:pt idx="129">
                  <c:v>3369.7-3389.7</c:v>
                </c:pt>
                <c:pt idx="130">
                  <c:v>3389.7-3409.7</c:v>
                </c:pt>
                <c:pt idx="131">
                  <c:v>3409.7-3429.7</c:v>
                </c:pt>
                <c:pt idx="132">
                  <c:v>3429.7-3449.7</c:v>
                </c:pt>
                <c:pt idx="133">
                  <c:v>3449.7-3469.7</c:v>
                </c:pt>
                <c:pt idx="134">
                  <c:v>3469.7-3489.7</c:v>
                </c:pt>
                <c:pt idx="135">
                  <c:v>3489.7-3509.7</c:v>
                </c:pt>
                <c:pt idx="136">
                  <c:v>3509.7-3529.7</c:v>
                </c:pt>
                <c:pt idx="137">
                  <c:v>3529.7-3549.7</c:v>
                </c:pt>
                <c:pt idx="138">
                  <c:v>3549.7-3569.7</c:v>
                </c:pt>
                <c:pt idx="139">
                  <c:v>3569.7-3589.7</c:v>
                </c:pt>
                <c:pt idx="140">
                  <c:v>3629.7-3649.7</c:v>
                </c:pt>
                <c:pt idx="141">
                  <c:v>3649.7-3669.7</c:v>
                </c:pt>
                <c:pt idx="142">
                  <c:v>3669.7-3689.7</c:v>
                </c:pt>
                <c:pt idx="143">
                  <c:v>3689.7-3709.7</c:v>
                </c:pt>
                <c:pt idx="144">
                  <c:v>3709.7-3729.7</c:v>
                </c:pt>
                <c:pt idx="145">
                  <c:v>3729.7-3749.7</c:v>
                </c:pt>
                <c:pt idx="146">
                  <c:v>3749.7-3769.7</c:v>
                </c:pt>
                <c:pt idx="147">
                  <c:v>3789.7-3809.7</c:v>
                </c:pt>
                <c:pt idx="148">
                  <c:v>3809.7-3829.7</c:v>
                </c:pt>
                <c:pt idx="149">
                  <c:v>3829.7-3849.7</c:v>
                </c:pt>
                <c:pt idx="150">
                  <c:v>3849.7-3869.7</c:v>
                </c:pt>
                <c:pt idx="151">
                  <c:v>3869.7-3889.7</c:v>
                </c:pt>
                <c:pt idx="152">
                  <c:v>3889.7-3909.7</c:v>
                </c:pt>
                <c:pt idx="153">
                  <c:v>3949.7-3969.7</c:v>
                </c:pt>
                <c:pt idx="154">
                  <c:v>3969.7-3989.7</c:v>
                </c:pt>
                <c:pt idx="155">
                  <c:v>3989.7-4009.7</c:v>
                </c:pt>
                <c:pt idx="156">
                  <c:v>4009.7-4029.7</c:v>
                </c:pt>
                <c:pt idx="157">
                  <c:v>4029.7-4049.7</c:v>
                </c:pt>
                <c:pt idx="158">
                  <c:v>4089.7-4109.7</c:v>
                </c:pt>
                <c:pt idx="159">
                  <c:v>4109.7-4129.7</c:v>
                </c:pt>
                <c:pt idx="160">
                  <c:v>4149.7-4169.7</c:v>
                </c:pt>
                <c:pt idx="161">
                  <c:v>4169.7-4189.7</c:v>
                </c:pt>
                <c:pt idx="162">
                  <c:v>4189.7-4209.7</c:v>
                </c:pt>
                <c:pt idx="163">
                  <c:v>4229.7-4249.7</c:v>
                </c:pt>
                <c:pt idx="164">
                  <c:v>4249.7-4269.7</c:v>
                </c:pt>
                <c:pt idx="165">
                  <c:v>4269.7-4289.7</c:v>
                </c:pt>
                <c:pt idx="166">
                  <c:v>4289.7-4309.7</c:v>
                </c:pt>
                <c:pt idx="167">
                  <c:v>4309.7-4329.7</c:v>
                </c:pt>
                <c:pt idx="168">
                  <c:v>4329.7-4349.7</c:v>
                </c:pt>
                <c:pt idx="169">
                  <c:v>4369.7-4389.7</c:v>
                </c:pt>
                <c:pt idx="170">
                  <c:v>4389.7-4409.7</c:v>
                </c:pt>
                <c:pt idx="171">
                  <c:v>4409.7-4429.7</c:v>
                </c:pt>
                <c:pt idx="172">
                  <c:v>4429.7-4449.7</c:v>
                </c:pt>
                <c:pt idx="173">
                  <c:v>4449.7-4469.7</c:v>
                </c:pt>
                <c:pt idx="174">
                  <c:v>4469.7-4489.7</c:v>
                </c:pt>
                <c:pt idx="175">
                  <c:v>4489.7-4509.7</c:v>
                </c:pt>
                <c:pt idx="176">
                  <c:v>4509.7-4529.7</c:v>
                </c:pt>
                <c:pt idx="177">
                  <c:v>4529.7-4549.7</c:v>
                </c:pt>
                <c:pt idx="178">
                  <c:v>4549.7-4569.7</c:v>
                </c:pt>
                <c:pt idx="179">
                  <c:v>4589.7-4609.7</c:v>
                </c:pt>
                <c:pt idx="180">
                  <c:v>4609.7-4629.7</c:v>
                </c:pt>
                <c:pt idx="181">
                  <c:v>4629.7-4649.7</c:v>
                </c:pt>
                <c:pt idx="182">
                  <c:v>4649.7-4669.7</c:v>
                </c:pt>
                <c:pt idx="183">
                  <c:v>4669.7-4689.7</c:v>
                </c:pt>
                <c:pt idx="184">
                  <c:v>4689.7-4709.7</c:v>
                </c:pt>
                <c:pt idx="185">
                  <c:v>4729.7-4749.7</c:v>
                </c:pt>
                <c:pt idx="186">
                  <c:v>4749.7-4769.7</c:v>
                </c:pt>
                <c:pt idx="187">
                  <c:v>4769.7-4789.7</c:v>
                </c:pt>
                <c:pt idx="188">
                  <c:v>4829.7-4849.7</c:v>
                </c:pt>
                <c:pt idx="189">
                  <c:v>4869.7-4889.7</c:v>
                </c:pt>
                <c:pt idx="190">
                  <c:v>4889.7-4909.7</c:v>
                </c:pt>
                <c:pt idx="191">
                  <c:v>4909.7-4929.7</c:v>
                </c:pt>
                <c:pt idx="192">
                  <c:v>4929.7-4949.7</c:v>
                </c:pt>
                <c:pt idx="193">
                  <c:v>4949.7-4969.7</c:v>
                </c:pt>
                <c:pt idx="194">
                  <c:v>4969.7-4989.7</c:v>
                </c:pt>
                <c:pt idx="195">
                  <c:v>4989.7-5009.7</c:v>
                </c:pt>
              </c:strCache>
            </c:strRef>
          </c:cat>
          <c:val>
            <c:numRef>
              <c:f>'Monthly Charges Churn'!$C$5:$C$201</c:f>
              <c:numCache>
                <c:formatCode>General</c:formatCode>
                <c:ptCount val="196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8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4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1">
                  <c:v>1</c:v>
                </c:pt>
                <c:pt idx="43">
                  <c:v>1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2</c:v>
                </c:pt>
                <c:pt idx="66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1</c:v>
                </c:pt>
                <c:pt idx="76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5">
                  <c:v>2</c:v>
                </c:pt>
                <c:pt idx="87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2</c:v>
                </c:pt>
                <c:pt idx="104">
                  <c:v>1</c:v>
                </c:pt>
                <c:pt idx="113">
                  <c:v>3</c:v>
                </c:pt>
                <c:pt idx="114">
                  <c:v>1</c:v>
                </c:pt>
                <c:pt idx="118">
                  <c:v>3</c:v>
                </c:pt>
                <c:pt idx="119">
                  <c:v>2</c:v>
                </c:pt>
                <c:pt idx="120">
                  <c:v>1</c:v>
                </c:pt>
                <c:pt idx="121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40">
                  <c:v>2</c:v>
                </c:pt>
                <c:pt idx="141">
                  <c:v>3</c:v>
                </c:pt>
                <c:pt idx="142">
                  <c:v>1</c:v>
                </c:pt>
                <c:pt idx="143">
                  <c:v>3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2</c:v>
                </c:pt>
                <c:pt idx="149">
                  <c:v>1</c:v>
                </c:pt>
                <c:pt idx="150">
                  <c:v>4</c:v>
                </c:pt>
                <c:pt idx="153">
                  <c:v>2</c:v>
                </c:pt>
                <c:pt idx="154">
                  <c:v>2</c:v>
                </c:pt>
                <c:pt idx="157">
                  <c:v>1</c:v>
                </c:pt>
                <c:pt idx="159">
                  <c:v>2</c:v>
                </c:pt>
                <c:pt idx="160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9">
                  <c:v>1</c:v>
                </c:pt>
                <c:pt idx="172">
                  <c:v>2</c:v>
                </c:pt>
                <c:pt idx="175">
                  <c:v>1</c:v>
                </c:pt>
                <c:pt idx="176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2</c:v>
                </c:pt>
                <c:pt idx="183">
                  <c:v>1</c:v>
                </c:pt>
                <c:pt idx="184">
                  <c:v>4</c:v>
                </c:pt>
                <c:pt idx="185">
                  <c:v>2</c:v>
                </c:pt>
                <c:pt idx="186">
                  <c:v>3</c:v>
                </c:pt>
                <c:pt idx="187">
                  <c:v>1</c:v>
                </c:pt>
                <c:pt idx="188">
                  <c:v>3</c:v>
                </c:pt>
                <c:pt idx="189">
                  <c:v>2</c:v>
                </c:pt>
                <c:pt idx="190">
                  <c:v>1</c:v>
                </c:pt>
                <c:pt idx="191">
                  <c:v>3</c:v>
                </c:pt>
                <c:pt idx="192">
                  <c:v>2</c:v>
                </c:pt>
                <c:pt idx="19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3B-4067-9C37-460839802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667359"/>
        <c:axId val="967998383"/>
      </c:barChart>
      <c:catAx>
        <c:axId val="92366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998383"/>
        <c:crosses val="autoZero"/>
        <c:auto val="1"/>
        <c:lblAlgn val="ctr"/>
        <c:lblOffset val="100"/>
        <c:noMultiLvlLbl val="0"/>
      </c:catAx>
      <c:valAx>
        <c:axId val="96799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6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6</xdr:row>
      <xdr:rowOff>41910</xdr:rowOff>
    </xdr:from>
    <xdr:to>
      <xdr:col>10</xdr:col>
      <xdr:colOff>601980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E76B29-CFFB-30F2-9E8D-97047C4EA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38100</xdr:rowOff>
    </xdr:from>
    <xdr:to>
      <xdr:col>2</xdr:col>
      <xdr:colOff>868680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D073B6-D21C-4286-9467-E518A7D79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373381</xdr:colOff>
      <xdr:row>4</xdr:row>
      <xdr:rowOff>1</xdr:rowOff>
    </xdr:from>
    <xdr:to>
      <xdr:col>6</xdr:col>
      <xdr:colOff>1702767</xdr:colOff>
      <xdr:row>13</xdr:row>
      <xdr:rowOff>137161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83AC3D-51AB-0F58-6170-FCCDCA002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9201" y="1112521"/>
          <a:ext cx="2967686" cy="17830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2</xdr:col>
      <xdr:colOff>929640</xdr:colOff>
      <xdr:row>25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1612C5-2F6B-4AA4-AC09-A72917833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182880</xdr:colOff>
      <xdr:row>15</xdr:row>
      <xdr:rowOff>30480</xdr:rowOff>
    </xdr:from>
    <xdr:to>
      <xdr:col>6</xdr:col>
      <xdr:colOff>1714500</xdr:colOff>
      <xdr:row>25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6676EF-C724-41C6-9641-0589271EF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27</xdr:row>
      <xdr:rowOff>152400</xdr:rowOff>
    </xdr:from>
    <xdr:to>
      <xdr:col>2</xdr:col>
      <xdr:colOff>1013460</xdr:colOff>
      <xdr:row>37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D318D7-537A-4477-B641-1579BD92D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259080</xdr:colOff>
      <xdr:row>27</xdr:row>
      <xdr:rowOff>7620</xdr:rowOff>
    </xdr:from>
    <xdr:to>
      <xdr:col>6</xdr:col>
      <xdr:colOff>1684020</xdr:colOff>
      <xdr:row>38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74C076-460D-4565-8C4F-6981E8EC0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m kumar rai" refreshedDate="46301.925672685182" createdVersion="8" refreshedVersion="8" minRefreshableVersion="3" recordCount="500" xr:uid="{6EBFF687-0215-48C5-A03B-AD254C77E9BD}">
  <cacheSource type="worksheet">
    <worksheetSource name="Table1"/>
  </cacheSource>
  <cacheFields count="12">
    <cacheField name="Customer_ID" numFmtId="49">
      <sharedItems/>
    </cacheField>
    <cacheField name="Age" numFmtId="1">
      <sharedItems containsSemiMixedTypes="0" containsString="0" containsNumber="1" containsInteger="1" minValue="18" maxValue="65"/>
    </cacheField>
    <cacheField name="Gender" numFmtId="49">
      <sharedItems count="2">
        <s v="Male"/>
        <s v="Female"/>
      </sharedItems>
    </cacheField>
    <cacheField name="Tenure_Months" numFmtId="1">
      <sharedItems containsSemiMixedTypes="0" containsString="0" containsNumber="1" containsInteger="1" minValue="1" maxValue="60" count="60">
        <n v="2"/>
        <n v="3"/>
        <n v="15"/>
        <n v="7"/>
        <n v="60"/>
        <n v="43"/>
        <n v="11"/>
        <n v="53"/>
        <n v="26"/>
        <n v="58"/>
        <n v="10"/>
        <n v="36"/>
        <n v="54"/>
        <n v="32"/>
        <n v="6"/>
        <n v="17"/>
        <n v="29"/>
        <n v="1"/>
        <n v="14"/>
        <n v="4"/>
        <n v="12"/>
        <n v="25"/>
        <n v="33"/>
        <n v="21"/>
        <n v="9"/>
        <n v="40"/>
        <n v="8"/>
        <n v="22"/>
        <n v="5"/>
        <n v="23"/>
        <n v="51"/>
        <n v="20"/>
        <n v="38"/>
        <n v="24"/>
        <n v="44"/>
        <n v="46"/>
        <n v="49"/>
        <n v="18"/>
        <n v="59"/>
        <n v="37"/>
        <n v="50"/>
        <n v="47"/>
        <n v="42"/>
        <n v="31"/>
        <n v="16"/>
        <n v="56"/>
        <n v="19"/>
        <n v="28"/>
        <n v="57"/>
        <n v="55"/>
        <n v="34"/>
        <n v="13"/>
        <n v="30"/>
        <n v="45"/>
        <n v="52"/>
        <n v="35"/>
        <n v="27"/>
        <n v="39"/>
        <n v="48"/>
        <n v="41"/>
      </sharedItems>
    </cacheField>
    <cacheField name="Monthly_Charges" numFmtId="2">
      <sharedItems containsSemiMixedTypes="0" containsString="0" containsNumber="1" minValue="509.7" maxValue="4991.68" count="500">
        <n v="3836.98"/>
        <n v="634.09"/>
        <n v="2521.44"/>
        <n v="917.36"/>
        <n v="2203.4"/>
        <n v="1525.54"/>
        <n v="2165.81"/>
        <n v="2580.17"/>
        <n v="644.45000000000005"/>
        <n v="4481.07"/>
        <n v="3125.9"/>
        <n v="3323.51"/>
        <n v="4373.51"/>
        <n v="2541.7600000000002"/>
        <n v="3375.27"/>
        <n v="587.65"/>
        <n v="3793.58"/>
        <n v="2874.53"/>
        <n v="4548.26"/>
        <n v="819.47"/>
        <n v="2926.55"/>
        <n v="936.19"/>
        <n v="2311.8000000000002"/>
        <n v="1753.45"/>
        <n v="4668.6499999999996"/>
        <n v="509.7"/>
        <n v="1354.54"/>
        <n v="4637.24"/>
        <n v="1039.49"/>
        <n v="1673.45"/>
        <n v="4680.58"/>
        <n v="4699.67"/>
        <n v="4927.34"/>
        <n v="4503.71"/>
        <n v="2698.39"/>
        <n v="3970.04"/>
        <n v="4752.7299999999996"/>
        <n v="1887.16"/>
        <n v="4010.52"/>
        <n v="1307.1199999999999"/>
        <n v="3655.75"/>
        <n v="4192.41"/>
        <n v="3386.67"/>
        <n v="4831.3999999999996"/>
        <n v="4547.7700000000004"/>
        <n v="2440.84"/>
        <n v="1891.78"/>
        <n v="3866.61"/>
        <n v="3109.93"/>
        <n v="881.58"/>
        <n v="609.91"/>
        <n v="3633.59"/>
        <n v="3008.33"/>
        <n v="4511.42"/>
        <n v="1666.36"/>
        <n v="1785.78"/>
        <n v="1462.79"/>
        <n v="3964.08"/>
        <n v="2254.94"/>
        <n v="2461.2600000000002"/>
        <n v="2273.09"/>
        <n v="1452.47"/>
        <n v="3870.61"/>
        <n v="639.63"/>
        <n v="4764.91"/>
        <n v="4186.8599999999997"/>
        <n v="1392.48"/>
        <n v="4927.3"/>
        <n v="4323.09"/>
        <n v="2847.86"/>
        <n v="4332.71"/>
        <n v="629.15"/>
        <n v="545.67999999999995"/>
        <n v="3703.29"/>
        <n v="2990.63"/>
        <n v="1537.42"/>
        <n v="3153.14"/>
        <n v="3686.08"/>
        <n v="4427.24"/>
        <n v="4199.5200000000004"/>
        <n v="1033.03"/>
        <n v="3148.36"/>
        <n v="3471.93"/>
        <n v="646.88"/>
        <n v="1016.49"/>
        <n v="1059.5899999999999"/>
        <n v="2444.13"/>
        <n v="3525.27"/>
        <n v="2461.48"/>
        <n v="1223.71"/>
        <n v="1021.65"/>
        <n v="2128.0100000000002"/>
        <n v="3642.13"/>
        <n v="2335.96"/>
        <n v="3724.71"/>
        <n v="4648.41"/>
        <n v="511.54"/>
        <n v="1995.98"/>
        <n v="3989.95"/>
        <n v="4841.71"/>
        <n v="1148.7"/>
        <n v="861.42"/>
        <n v="807.89"/>
        <n v="1248.6400000000001"/>
        <n v="2890.25"/>
        <n v="4607.7299999999996"/>
        <n v="2959.69"/>
        <n v="4303.87"/>
        <n v="1828.54"/>
        <n v="3228.83"/>
        <n v="1627.82"/>
        <n v="4048.75"/>
        <n v="1094.72"/>
        <n v="1828.14"/>
        <n v="4120.6400000000003"/>
        <n v="2214.61"/>
        <n v="3245.37"/>
        <n v="1869.64"/>
        <n v="3840.21"/>
        <n v="2167.38"/>
        <n v="2291.63"/>
        <n v="4040.58"/>
        <n v="1471.78"/>
        <n v="1627.94"/>
        <n v="1284.1099999999999"/>
        <n v="3171.5"/>
        <n v="3395.03"/>
        <n v="4546.7"/>
        <n v="4975.82"/>
        <n v="2532"/>
        <n v="3492.99"/>
        <n v="3850.65"/>
        <n v="2091.19"/>
        <n v="3455.31"/>
        <n v="2431.0100000000002"/>
        <n v="1311.87"/>
        <n v="1138.44"/>
        <n v="1902.37"/>
        <n v="867.12"/>
        <n v="2434.61"/>
        <n v="746.52"/>
        <n v="2437.9499999999998"/>
        <n v="4377.9399999999996"/>
        <n v="1018.28"/>
        <n v="976.38"/>
        <n v="1256.5999999999999"/>
        <n v="962.62"/>
        <n v="3895.01"/>
        <n v="2478.9299999999998"/>
        <n v="2533.61"/>
        <n v="3111.48"/>
        <n v="1178.8699999999999"/>
        <n v="2469.91"/>
        <n v="2022.65"/>
        <n v="1633.98"/>
        <n v="2074.19"/>
        <n v="2195.06"/>
        <n v="2131.69"/>
        <n v="4299.93"/>
        <n v="2195.2399999999998"/>
        <n v="3738.14"/>
        <n v="3552.38"/>
        <n v="3220.99"/>
        <n v="877.44"/>
        <n v="2073.13"/>
        <n v="626.84"/>
        <n v="3674.91"/>
        <n v="3992.78"/>
        <n v="4265.09"/>
        <n v="3266.64"/>
        <n v="4429.99"/>
        <n v="3798.23"/>
        <n v="4006.14"/>
        <n v="1407.16"/>
        <n v="664.79"/>
        <n v="2300.1"/>
        <n v="871.75"/>
        <n v="1830.38"/>
        <n v="4991.68"/>
        <n v="1142.51"/>
        <n v="2222.84"/>
        <n v="2151.27"/>
        <n v="3027.53"/>
        <n v="1110.78"/>
        <n v="792.23"/>
        <n v="4933.1000000000004"/>
        <n v="4923.55"/>
        <n v="2348.58"/>
        <n v="4450.82"/>
        <n v="1188.57"/>
        <n v="3357.76"/>
        <n v="4737.2299999999996"/>
        <n v="4768.46"/>
        <n v="3322.24"/>
        <n v="769.61"/>
        <n v="4946.1099999999997"/>
        <n v="1703.62"/>
        <n v="3099.59"/>
        <n v="905.22"/>
        <n v="3188.83"/>
        <n v="1690.13"/>
        <n v="1798.71"/>
        <n v="2272.5700000000002"/>
        <n v="675.11"/>
        <n v="4691.16"/>
        <n v="3033.16"/>
        <n v="4544.45"/>
        <n v="731.1"/>
        <n v="4766.92"/>
        <n v="3987.38"/>
        <n v="2195.71"/>
        <n v="2678.81"/>
        <n v="3672.45"/>
        <n v="4910.72"/>
        <n v="4658.04"/>
        <n v="991.52"/>
        <n v="2359.86"/>
        <n v="4707.6400000000003"/>
        <n v="3083.6"/>
        <n v="2286.48"/>
        <n v="4923.47"/>
        <n v="1367.65"/>
        <n v="1827.61"/>
        <n v="2303.75"/>
        <n v="3891.9"/>
        <n v="3505.04"/>
        <n v="1493.82"/>
        <n v="2918.83"/>
        <n v="3666.95"/>
        <n v="1976.53"/>
        <n v="750.36"/>
        <n v="1645.06"/>
        <n v="4523.9799999999996"/>
        <n v="4967.8500000000004"/>
        <n v="4371.29"/>
        <n v="602.30999999999995"/>
        <n v="2057.7199999999998"/>
        <n v="802.81"/>
        <n v="1477.71"/>
        <n v="3190.63"/>
        <n v="774.31"/>
        <n v="4737.1400000000003"/>
        <n v="2920.68"/>
        <n v="1592.86"/>
        <n v="2197.2600000000002"/>
        <n v="1440"/>
        <n v="1591.67"/>
        <n v="3419.25"/>
        <n v="4278.79"/>
        <n v="1673.48"/>
        <n v="4250.13"/>
        <n v="1257.05"/>
        <n v="652.21"/>
        <n v="3682.26"/>
        <n v="2695.34"/>
        <n v="2759.97"/>
        <n v="2869.05"/>
        <n v="1516.36"/>
        <n v="3365.37"/>
        <n v="1451.38"/>
        <n v="2943.64"/>
        <n v="846.22"/>
        <n v="4948.1499999999996"/>
        <n v="3960.53"/>
        <n v="2101.15"/>
        <n v="1609.02"/>
        <n v="911.84"/>
        <n v="2996.33"/>
        <n v="1813.31"/>
        <n v="1124.78"/>
        <n v="846.15"/>
        <n v="530.45000000000005"/>
        <n v="1942.99"/>
        <n v="4018.88"/>
        <n v="3954.28"/>
        <n v="2746.86"/>
        <n v="2303.62"/>
        <n v="3960.29"/>
        <n v="1992.19"/>
        <n v="2183.54"/>
        <n v="2371.89"/>
        <n v="2642.73"/>
        <n v="4321.3100000000004"/>
        <n v="2418.66"/>
        <n v="3263.48"/>
        <n v="957.88"/>
        <n v="4846.62"/>
        <n v="3531.15"/>
        <n v="1026.27"/>
        <n v="2690.02"/>
        <n v="4288.93"/>
        <n v="3581.14"/>
        <n v="1736.84"/>
        <n v="1013.93"/>
        <n v="960.87"/>
        <n v="4972.8100000000004"/>
        <n v="1126.56"/>
        <n v="4905.5"/>
        <n v="4401.71"/>
        <n v="1139.77"/>
        <n v="3874.11"/>
        <n v="4874.68"/>
        <n v="1708.42"/>
        <n v="948.09"/>
        <n v="4592.33"/>
        <n v="4567.1000000000004"/>
        <n v="1460.4"/>
        <n v="1042.67"/>
        <n v="1910.08"/>
        <n v="3425.09"/>
        <n v="952.09"/>
        <n v="3400.79"/>
        <n v="2829.87"/>
        <n v="1007.35"/>
        <n v="4275.38"/>
        <n v="1470.84"/>
        <n v="3658.15"/>
        <n v="1199.2"/>
        <n v="887.96"/>
        <n v="556.99"/>
        <n v="2173.41"/>
        <n v="3705.45"/>
        <n v="1207.8900000000001"/>
        <n v="706.92"/>
        <n v="1948.11"/>
        <n v="1504.33"/>
        <n v="2988.91"/>
        <n v="4873.3599999999997"/>
        <n v="2936.95"/>
        <n v="1423.37"/>
        <n v="4304.7700000000004"/>
        <n v="3163.53"/>
        <n v="4243.55"/>
        <n v="975.46"/>
        <n v="2585.06"/>
        <n v="3700.21"/>
        <n v="4345.71"/>
        <n v="777.51"/>
        <n v="3137.53"/>
        <n v="4312.74"/>
        <n v="632.66999999999996"/>
        <n v="3286.29"/>
        <n v="2386.56"/>
        <n v="2950.33"/>
        <n v="1485.59"/>
        <n v="950.6"/>
        <n v="4276.5"/>
        <n v="3652.52"/>
        <n v="906.16"/>
        <n v="1087.2"/>
        <n v="999.14"/>
        <n v="1857.94"/>
        <n v="3494.89"/>
        <n v="4974.2700000000004"/>
        <n v="2732.83"/>
        <n v="551.28"/>
        <n v="3796.63"/>
        <n v="4388.2299999999996"/>
        <n v="1934.23"/>
        <n v="3173.14"/>
        <n v="955.66"/>
        <n v="723.36"/>
        <n v="3479.09"/>
        <n v="1019.79"/>
        <n v="2216.5"/>
        <n v="3885.06"/>
        <n v="774.43"/>
        <n v="855.3"/>
        <n v="4771.6499999999996"/>
        <n v="2459.27"/>
        <n v="3003.64"/>
        <n v="2364.9899999999998"/>
        <n v="2349.0100000000002"/>
        <n v="3238.95"/>
        <n v="2020.4"/>
        <n v="4883.99"/>
        <n v="4610.45"/>
        <n v="3693.06"/>
        <n v="648.82000000000005"/>
        <n v="4653.83"/>
        <n v="1235.81"/>
        <n v="1496.08"/>
        <n v="4601.82"/>
        <n v="4529.67"/>
        <n v="960.4"/>
        <n v="986.47"/>
        <n v="1174.68"/>
        <n v="2738.18"/>
        <n v="3769.47"/>
        <n v="939.21"/>
        <n v="2098.7800000000002"/>
        <n v="741.55"/>
        <n v="3563.14"/>
        <n v="1923.73"/>
        <n v="2534.2399999999998"/>
        <n v="2451.6999999999998"/>
        <n v="4514.03"/>
        <n v="4446.43"/>
        <n v="2551.67"/>
        <n v="1347.92"/>
        <n v="598.61"/>
        <n v="4976.0600000000004"/>
        <n v="2962.77"/>
        <n v="3225.35"/>
        <n v="978.19"/>
        <n v="677.33"/>
        <n v="996.94"/>
        <n v="1540.22"/>
        <n v="4107.18"/>
        <n v="2108.87"/>
        <n v="1723.25"/>
        <n v="1217.28"/>
        <n v="629.66999999999996"/>
        <n v="785.01"/>
        <n v="2853.96"/>
        <n v="4275.6499999999996"/>
        <n v="2731.26"/>
        <n v="3394.93"/>
        <n v="1034.18"/>
        <n v="909.03"/>
        <n v="2135.04"/>
        <n v="3457.25"/>
        <n v="2848.93"/>
        <n v="1644.3"/>
        <n v="3907.17"/>
        <n v="519.52"/>
        <n v="4168.6000000000004"/>
        <n v="2290.41"/>
        <n v="3656.72"/>
        <n v="2053.8200000000002"/>
        <n v="2085.0700000000002"/>
        <n v="4312.8500000000004"/>
        <n v="3875.83"/>
        <n v="2935.27"/>
        <n v="2799.15"/>
        <n v="742.11"/>
        <n v="3147.73"/>
        <n v="4831.1400000000003"/>
        <n v="4307.0600000000004"/>
        <n v="4695.72"/>
        <n v="1489.83"/>
        <n v="1495.39"/>
        <n v="4206.6000000000004"/>
        <n v="3571.48"/>
        <n v="2825.91"/>
        <n v="2812.53"/>
        <n v="3584.32"/>
        <n v="3725.91"/>
        <n v="2246.15"/>
        <n v="3856.78"/>
        <n v="889.27"/>
        <n v="3860.39"/>
        <n v="2990.86"/>
        <n v="1445.24"/>
        <n v="1493.55"/>
        <n v="2973.49"/>
        <n v="3520.83"/>
        <n v="3128.76"/>
        <n v="3829.17"/>
        <n v="2114.34"/>
        <n v="2923.78"/>
        <n v="3118.51"/>
        <n v="3988.39"/>
        <n v="2137.4"/>
        <n v="1306.1500000000001"/>
        <n v="1689.61"/>
        <n v="4912.6499999999996"/>
        <n v="3441.54"/>
        <n v="4177.57"/>
        <n v="846.9"/>
        <n v="4150.28"/>
        <n v="1596.52"/>
        <n v="1248.54"/>
        <n v="1474.67"/>
        <n v="3121.91"/>
        <n v="3157.68"/>
        <n v="1173.03"/>
        <n v="2670.08"/>
        <n v="695.47"/>
        <n v="1102.47"/>
        <n v="524.61"/>
        <n v="4119.29"/>
        <n v="2145.4"/>
        <n v="3015.92"/>
        <n v="1533.97"/>
        <n v="2250.9699999999998"/>
        <n v="2168.7600000000002"/>
        <n v="4191.03"/>
        <n v="1262.67"/>
        <n v="2278.14"/>
        <n v="4834.79"/>
        <n v="2778.07"/>
        <n v="2492.46"/>
        <n v="1023.21"/>
        <n v="2824.27"/>
        <n v="2995.48"/>
        <n v="3817.01"/>
        <n v="4005.22"/>
        <n v="2670.31"/>
        <n v="1499.42"/>
      </sharedItems>
      <fieldGroup base="4">
        <rangePr startNum="509.7" endNum="4991.68" groupInterval="20"/>
        <groupItems count="227">
          <s v="&lt;509.7"/>
          <s v="509.7-529.7"/>
          <s v="529.7-549.7"/>
          <s v="549.7-569.7"/>
          <s v="569.7-589.7"/>
          <s v="589.7-609.7"/>
          <s v="609.7-629.7"/>
          <s v="629.7-649.7"/>
          <s v="649.7-669.7"/>
          <s v="669.7-689.7"/>
          <s v="689.7-709.7"/>
          <s v="709.7-729.7"/>
          <s v="729.7-749.7"/>
          <s v="749.7-769.7"/>
          <s v="769.7-789.7"/>
          <s v="789.7-809.7"/>
          <s v="809.7-829.7"/>
          <s v="829.7-849.7"/>
          <s v="849.7-869.7"/>
          <s v="869.7-889.7"/>
          <s v="889.7-909.7"/>
          <s v="909.7-929.7"/>
          <s v="929.7-949.7"/>
          <s v="949.7-969.7"/>
          <s v="969.7-989.7"/>
          <s v="989.7-1009.7"/>
          <s v="1009.7-1029.7"/>
          <s v="1029.7-1049.7"/>
          <s v="1049.7-1069.7"/>
          <s v="1069.7-1089.7"/>
          <s v="1089.7-1109.7"/>
          <s v="1109.7-1129.7"/>
          <s v="1129.7-1149.7"/>
          <s v="1149.7-1169.7"/>
          <s v="1169.7-1189.7"/>
          <s v="1189.7-1209.7"/>
          <s v="1209.7-1229.7"/>
          <s v="1229.7-1249.7"/>
          <s v="1249.7-1269.7"/>
          <s v="1269.7-1289.7"/>
          <s v="1289.7-1309.7"/>
          <s v="1309.7-1329.7"/>
          <s v="1329.7-1349.7"/>
          <s v="1349.7-1369.7"/>
          <s v="1369.7-1389.7"/>
          <s v="1389.7-1409.7"/>
          <s v="1409.7-1429.7"/>
          <s v="1429.7-1449.7"/>
          <s v="1449.7-1469.7"/>
          <s v="1469.7-1489.7"/>
          <s v="1489.7-1509.7"/>
          <s v="1509.7-1529.7"/>
          <s v="1529.7-1549.7"/>
          <s v="1549.7-1569.7"/>
          <s v="1569.7-1589.7"/>
          <s v="1589.7-1609.7"/>
          <s v="1609.7-1629.7"/>
          <s v="1629.7-1649.7"/>
          <s v="1649.7-1669.7"/>
          <s v="1669.7-1689.7"/>
          <s v="1689.7-1709.7"/>
          <s v="1709.7-1729.7"/>
          <s v="1729.7-1749.7"/>
          <s v="1749.7-1769.7"/>
          <s v="1769.7-1789.7"/>
          <s v="1789.7-1809.7"/>
          <s v="1809.7-1829.7"/>
          <s v="1829.7-1849.7"/>
          <s v="1849.7-1869.7"/>
          <s v="1869.7-1889.7"/>
          <s v="1889.7-1909.7"/>
          <s v="1909.7-1929.7"/>
          <s v="1929.7-1949.7"/>
          <s v="1949.7-1969.7"/>
          <s v="1969.7-1989.7"/>
          <s v="1989.7-2009.7"/>
          <s v="2009.7-2029.7"/>
          <s v="2029.7-2049.7"/>
          <s v="2049.7-2069.7"/>
          <s v="2069.7-2089.7"/>
          <s v="2089.7-2109.7"/>
          <s v="2109.7-2129.7"/>
          <s v="2129.7-2149.7"/>
          <s v="2149.7-2169.7"/>
          <s v="2169.7-2189.7"/>
          <s v="2189.7-2209.7"/>
          <s v="2209.7-2229.7"/>
          <s v="2229.7-2249.7"/>
          <s v="2249.7-2269.7"/>
          <s v="2269.7-2289.7"/>
          <s v="2289.7-2309.7"/>
          <s v="2309.7-2329.7"/>
          <s v="2329.7-2349.7"/>
          <s v="2349.7-2369.7"/>
          <s v="2369.7-2389.7"/>
          <s v="2389.7-2409.7"/>
          <s v="2409.7-2429.7"/>
          <s v="2429.7-2449.7"/>
          <s v="2449.7-2469.7"/>
          <s v="2469.7-2489.7"/>
          <s v="2489.7-2509.7"/>
          <s v="2509.7-2529.7"/>
          <s v="2529.7-2549.7"/>
          <s v="2549.7-2569.7"/>
          <s v="2569.7-2589.7"/>
          <s v="2589.7-2609.7"/>
          <s v="2609.7-2629.7"/>
          <s v="2629.7-2649.7"/>
          <s v="2649.7-2669.7"/>
          <s v="2669.7-2689.7"/>
          <s v="2689.7-2709.7"/>
          <s v="2709.7-2729.7"/>
          <s v="2729.7-2749.7"/>
          <s v="2749.7-2769.7"/>
          <s v="2769.7-2789.7"/>
          <s v="2789.7-2809.7"/>
          <s v="2809.7-2829.7"/>
          <s v="2829.7-2849.7"/>
          <s v="2849.7-2869.7"/>
          <s v="2869.7-2889.7"/>
          <s v="2889.7-2909.7"/>
          <s v="2909.7-2929.7"/>
          <s v="2929.7-2949.7"/>
          <s v="2949.7-2969.7"/>
          <s v="2969.7-2989.7"/>
          <s v="2989.7-3009.7"/>
          <s v="3009.7-3029.7"/>
          <s v="3029.7-3049.7"/>
          <s v="3049.7-3069.7"/>
          <s v="3069.7-3089.7"/>
          <s v="3089.7-3109.7"/>
          <s v="3109.7-3129.7"/>
          <s v="3129.7-3149.7"/>
          <s v="3149.7-3169.7"/>
          <s v="3169.7-3189.7"/>
          <s v="3189.7-3209.7"/>
          <s v="3209.7-3229.7"/>
          <s v="3229.7-3249.7"/>
          <s v="3249.7-3269.7"/>
          <s v="3269.7-3289.7"/>
          <s v="3289.7-3309.7"/>
          <s v="3309.7-3329.7"/>
          <s v="3329.7-3349.7"/>
          <s v="3349.7-3369.7"/>
          <s v="3369.7-3389.7"/>
          <s v="3389.7-3409.7"/>
          <s v="3409.7-3429.7"/>
          <s v="3429.7-3449.7"/>
          <s v="3449.7-3469.7"/>
          <s v="3469.7-3489.7"/>
          <s v="3489.7-3509.7"/>
          <s v="3509.7-3529.7"/>
          <s v="3529.7-3549.7"/>
          <s v="3549.7-3569.7"/>
          <s v="3569.7-3589.7"/>
          <s v="3589.7-3609.7"/>
          <s v="3609.7-3629.7"/>
          <s v="3629.7-3649.7"/>
          <s v="3649.7-3669.7"/>
          <s v="3669.7-3689.7"/>
          <s v="3689.7-3709.7"/>
          <s v="3709.7-3729.7"/>
          <s v="3729.7-3749.7"/>
          <s v="3749.7-3769.7"/>
          <s v="3769.7-3789.7"/>
          <s v="3789.7-3809.7"/>
          <s v="3809.7-3829.7"/>
          <s v="3829.7-3849.7"/>
          <s v="3849.7-3869.7"/>
          <s v="3869.7-3889.7"/>
          <s v="3889.7-3909.7"/>
          <s v="3909.7-3929.7"/>
          <s v="3929.7-3949.7"/>
          <s v="3949.7-3969.7"/>
          <s v="3969.7-3989.7"/>
          <s v="3989.7-4009.7"/>
          <s v="4009.7-4029.7"/>
          <s v="4029.7-4049.7"/>
          <s v="4049.7-4069.7"/>
          <s v="4069.7-4089.7"/>
          <s v="4089.7-4109.7"/>
          <s v="4109.7-4129.7"/>
          <s v="4129.7-4149.7"/>
          <s v="4149.7-4169.7"/>
          <s v="4169.7-4189.7"/>
          <s v="4189.7-4209.7"/>
          <s v="4209.7-4229.7"/>
          <s v="4229.7-4249.7"/>
          <s v="4249.7-4269.7"/>
          <s v="4269.7-4289.7"/>
          <s v="4289.7-4309.7"/>
          <s v="4309.7-4329.7"/>
          <s v="4329.7-4349.7"/>
          <s v="4349.7-4369.7"/>
          <s v="4369.7-4389.7"/>
          <s v="4389.7-4409.7"/>
          <s v="4409.7-4429.7"/>
          <s v="4429.7-4449.7"/>
          <s v="4449.7-4469.7"/>
          <s v="4469.7-4489.7"/>
          <s v="4489.7-4509.7"/>
          <s v="4509.7-4529.7"/>
          <s v="4529.7-4549.7"/>
          <s v="4549.7-4569.7"/>
          <s v="4569.7-4589.7"/>
          <s v="4589.7-4609.7"/>
          <s v="4609.7-4629.7"/>
          <s v="4629.7-4649.7"/>
          <s v="4649.7-4669.7"/>
          <s v="4669.7-4689.7"/>
          <s v="4689.7-4709.7"/>
          <s v="4709.7-4729.7"/>
          <s v="4729.7-4749.7"/>
          <s v="4749.7-4769.7"/>
          <s v="4769.7-4789.7"/>
          <s v="4789.7-4809.7"/>
          <s v="4809.7-4829.7"/>
          <s v="4829.7-4849.7"/>
          <s v="4849.7-4869.7"/>
          <s v="4869.7-4889.7"/>
          <s v="4889.7-4909.7"/>
          <s v="4909.7-4929.7"/>
          <s v="4929.7-4949.7"/>
          <s v="4949.7-4969.7"/>
          <s v="4969.7-4989.7"/>
          <s v="4989.7-5009.7"/>
          <s v="&gt;5009.7"/>
        </groupItems>
      </fieldGroup>
    </cacheField>
    <cacheField name="Total_Charges" numFmtId="2">
      <sharedItems containsSemiMixedTypes="0" containsString="0" containsNumber="1" minValue="790.84" maxValue="291303.34000000003" count="500">
        <n v="7188.46"/>
        <n v="1774.43"/>
        <n v="35617.68"/>
        <n v="5872.53"/>
        <n v="129930.9"/>
        <n v="61885.9"/>
        <n v="22190.21"/>
        <n v="26692.93"/>
        <n v="32356.45"/>
        <n v="116091.63"/>
        <n v="173016.59"/>
        <n v="33860.32"/>
        <n v="141972.87"/>
        <n v="29163.64"/>
        <n v="180687.18"/>
        <n v="19545.05"/>
        <n v="23271.42"/>
        <n v="48426.67"/>
        <n v="127642.21"/>
        <n v="815.1"/>
        <n v="41320.080000000002"/>
        <n v="6321.72"/>
        <n v="8793.1200000000008"/>
        <n v="19725.7"/>
        <n v="28776.75"/>
        <n v="12214.49"/>
        <n v="12633.19"/>
        <n v="149917.68"/>
        <n v="27933.3"/>
        <n v="100453.08"/>
        <n v="102259.27"/>
        <n v="43656.02"/>
        <n v="201245.38"/>
        <n v="36439.07"/>
        <n v="92234.79"/>
        <n v="86953.7"/>
        <n v="23850.46"/>
        <n v="5858.77"/>
        <n v="95250.91"/>
        <n v="2715.34"/>
        <n v="178497.27"/>
        <n v="86422.21"/>
        <n v="74773.919999999998"/>
        <n v="172544.55"/>
        <n v="105566.45"/>
        <n v="61059.93"/>
        <n v="60010.18"/>
        <n v="157558.87"/>
        <n v="158321.87"/>
        <n v="37048.1"/>
        <n v="5713.19"/>
        <n v="162825.54"/>
        <n v="12486.02"/>
        <n v="219268.52"/>
        <n v="45284.15"/>
        <n v="77279.33"/>
        <n v="64746.87"/>
        <n v="239552.29"/>
        <n v="114220.75"/>
        <n v="40065.29"/>
        <n v="132054.87"/>
        <n v="28947.09"/>
        <n v="7027.58"/>
        <n v="29370.23"/>
        <n v="170969.44"/>
        <n v="218702.33"/>
        <n v="63337.61"/>
        <n v="255663.61"/>
        <n v="4424.03"/>
        <n v="133523.98000000001"/>
        <n v="93226.07"/>
        <n v="14223.91"/>
        <n v="20473.66"/>
        <n v="150440.6"/>
        <n v="88219.01"/>
        <n v="26350.26"/>
        <n v="150276.97"/>
        <n v="3387.46"/>
        <n v="30560.21"/>
        <n v="32255.88"/>
        <n v="16770.900000000001"/>
        <n v="170018.27"/>
        <n v="54511.02"/>
        <n v="11592.8"/>
        <n v="26575.32"/>
        <n v="30829.56"/>
        <n v="132119.51999999999"/>
        <n v="162447.64000000001"/>
        <n v="95606.83"/>
        <n v="64729.45"/>
        <n v="21795.4"/>
        <n v="73326.67"/>
        <n v="190622.5"/>
        <n v="78519.520000000004"/>
        <n v="218192.95"/>
        <n v="58993.3"/>
        <n v="27353.119999999999"/>
        <n v="46570.03"/>
        <n v="198939.27"/>
        <n v="142375.24"/>
        <n v="55643.12"/>
        <n v="34344.78"/>
        <n v="32143.49"/>
        <n v="34216.080000000002"/>
        <n v="45545.22"/>
        <n v="135867.97"/>
        <n v="118646.54"/>
        <n v="120062.81"/>
        <n v="86126.29"/>
        <n v="185644.93"/>
        <n v="65981.179999999993"/>
        <n v="73282.75"/>
        <n v="13959.7"/>
        <n v="97968.37"/>
        <n v="216406.31"/>
        <n v="83800.25"/>
        <n v="190930.71"/>
        <n v="5462.49"/>
        <n v="134717.56"/>
        <n v="94265.5"/>
        <n v="8510.85"/>
        <n v="15136.58"/>
        <n v="57630.879999999997"/>
        <n v="52771.48"/>
        <n v="2331.58"/>
        <n v="101289.55"/>
        <n v="92141.72"/>
        <n v="21558.560000000001"/>
        <n v="121855.78"/>
        <n v="66236.289999999994"/>
        <n v="70135.91"/>
        <n v="25765.77"/>
        <n v="56450.9"/>
        <n v="32260.04"/>
        <n v="124408.23"/>
        <n v="2637.92"/>
        <n v="5663.6"/>
        <n v="43312.74"/>
        <n v="36873.879999999997"/>
        <n v="52775.53"/>
        <n v="27095.599999999999"/>
        <n v="107587.07"/>
        <n v="103166.06"/>
        <n v="17473.12"/>
        <n v="51840.24"/>
        <n v="61358.05"/>
        <n v="14453.09"/>
        <n v="118484.05"/>
        <n v="24054"/>
        <n v="69056.09"/>
        <n v="97370.78"/>
        <n v="35373.5"/>
        <n v="109743.07"/>
        <n v="100089.1"/>
        <n v="31906.67"/>
        <n v="127903.09"/>
        <n v="80503.77"/>
        <n v="3952.32"/>
        <n v="74768.259999999995"/>
        <n v="79136.53"/>
        <n v="171951.77"/>
        <n v="84026.26"/>
        <n v="172675.39"/>
        <n v="15405.12"/>
        <n v="106824.31"/>
        <n v="9775.17"/>
        <n v="174180.52"/>
        <n v="29886.63"/>
        <n v="33266.83"/>
        <n v="3057.85"/>
        <n v="100397.99"/>
        <n v="60421.55"/>
        <n v="209775.29"/>
        <n v="27235.11"/>
        <n v="11267.92"/>
        <n v="126642.93"/>
        <n v="43684.35"/>
        <n v="76100.17"/>
        <n v="187923.43"/>
        <n v="2264.77"/>
        <n v="52552.56"/>
        <n v="69278.13"/>
        <n v="167775.79"/>
        <n v="8096.32"/>
        <n v="35762.04"/>
        <n v="40207.129999999997"/>
        <n v="235405.83"/>
        <n v="76770.64"/>
        <n v="40739.94"/>
        <n v="37368.339999999997"/>
        <n v="42892.5"/>
        <n v="166176.85"/>
        <n v="14529.31"/>
        <n v="178659.08"/>
        <n v="33452.9"/>
        <n v="221263.55"/>
        <n v="12772.9"/>
        <n v="176101.45"/>
        <n v="1736.19"/>
        <n v="104739.28"/>
        <n v="91989.38"/>
        <n v="62030.82"/>
        <n v="16213.97"/>
        <n v="2039.59"/>
        <n v="93369.89"/>
        <n v="135511.76"/>
        <n v="238908.82"/>
        <n v="33401.89"/>
        <n v="161645.88"/>
        <n v="136594"/>
        <n v="77901.81"/>
        <n v="111824.31"/>
        <n v="156593.35999999999"/>
        <n v="291303.34000000003"/>
        <n v="106963.05"/>
        <n v="9023.0300000000007"/>
        <n v="16644.63"/>
        <n v="204000.48"/>
        <n v="126956.31"/>
        <n v="120297.68"/>
        <n v="278476.65999999997"/>
        <n v="22571.9"/>
        <n v="93316.25"/>
        <n v="12638.02"/>
        <n v="117730.18"/>
        <n v="13596.88"/>
        <n v="62358.27"/>
        <n v="142967.49"/>
        <n v="113669.3"/>
        <n v="21264.62"/>
        <n v="35889.089999999997"/>
        <n v="38513.75"/>
        <n v="284446.31"/>
        <n v="114145.92"/>
        <n v="168501.82"/>
        <n v="27882.720000000001"/>
        <n v="58110.879999999997"/>
        <n v="11116.74"/>
        <n v="53248.66"/>
        <n v="118157.17"/>
        <n v="14526.83"/>
        <n v="109030.64"/>
        <n v="133974.85"/>
        <n v="37053.93"/>
        <n v="39184.65"/>
        <n v="46249.49"/>
        <n v="93031.45"/>
        <n v="113242.88"/>
        <n v="217449.52"/>
        <n v="3481.55"/>
        <n v="153306.96"/>
        <n v="38437.31"/>
        <n v="22773.97"/>
        <n v="16595.419999999998"/>
        <n v="104424.61"/>
        <n v="5545.77"/>
        <n v="117319.15"/>
        <n v="68414.039999999994"/>
        <n v="13534.53"/>
        <n v="22428.560000000001"/>
        <n v="170511.97"/>
        <n v="46933.1"/>
        <n v="254532.1"/>
        <n v="161137.81"/>
        <n v="32814.86"/>
        <n v="76224.67"/>
        <n v="6647.41"/>
        <n v="103683.32"/>
        <n v="1737.46"/>
        <n v="11694.19"/>
        <n v="40467.550000000003"/>
        <n v="10177.780000000001"/>
        <n v="40495.480000000003"/>
        <n v="141097.53"/>
        <n v="157291.95000000001"/>
        <n v="120257.58"/>
        <n v="85435.95"/>
        <n v="27684.33"/>
        <n v="99514.47"/>
        <n v="61388.75"/>
        <n v="47060.49"/>
        <n v="58699.45"/>
        <n v="8618.3799999999992"/>
        <n v="84399.360000000001"/>
        <n v="145618.88"/>
        <n v="36533.050000000003"/>
        <n v="156053.22"/>
        <n v="190911.19"/>
        <n v="19622.2"/>
        <n v="31654.23"/>
        <n v="89429.09"/>
        <n v="93049.85"/>
        <n v="5109.6499999999996"/>
        <n v="38125.67"/>
        <n v="27563.8"/>
        <n v="283029"/>
        <n v="41952.78"/>
        <n v="97235.839999999997"/>
        <n v="72815.72"/>
        <n v="36285.18"/>
        <n v="128383.29"/>
        <n v="228016.21"/>
        <n v="55995.26"/>
        <n v="2894.28"/>
        <n v="213334.38"/>
        <n v="181622.77"/>
        <n v="1331.43"/>
        <n v="56866.91"/>
        <n v="13800.4"/>
        <n v="132347.51999999999"/>
        <n v="55931.74"/>
        <n v="57371.5"/>
        <n v="38684.32"/>
        <n v="24552.58"/>
        <n v="230593.7"/>
        <n v="25964.12"/>
        <n v="93451.82"/>
        <n v="59178.9"/>
        <n v="13712.55"/>
        <n v="4102.04"/>
        <n v="24205.55"/>
        <n v="62142.11"/>
        <n v="29453.17"/>
        <n v="10797.17"/>
        <n v="28124.04"/>
        <n v="17643.37"/>
        <n v="16161.55"/>
        <n v="194385.59"/>
        <n v="43851.22"/>
        <n v="10436.540000000001"/>
        <n v="240178.59"/>
        <n v="14383.66"/>
        <n v="181208.91"/>
        <n v="9436.94"/>
        <n v="53142.23"/>
        <n v="23206.09"/>
        <n v="111112.07"/>
        <n v="790.84"/>
        <n v="123710.75"/>
        <n v="255475.15"/>
        <n v="20295.689999999999"/>
        <n v="123152.76"/>
        <n v="21401.67"/>
        <n v="88963.54"/>
        <n v="59929.03"/>
        <n v="10441.23"/>
        <n v="263462.28000000003"/>
        <n v="175095.07"/>
        <n v="2541.4899999999998"/>
        <n v="56960.71"/>
        <n v="48905.120000000003"/>
        <n v="37623.82"/>
        <n v="53585.48"/>
        <n v="285835.32"/>
        <n v="155718.06"/>
        <n v="14891.25"/>
        <n v="115097.09"/>
        <n v="223272.78"/>
        <n v="4033.83"/>
        <n v="69253.87"/>
        <n v="3558.24"/>
        <n v="4991.4399999999996"/>
        <n v="182553.81"/>
        <n v="57082.98"/>
        <n v="117242.4"/>
        <n v="38855.269999999997"/>
        <n v="26710.38"/>
        <n v="17711.84"/>
        <n v="36927.07"/>
        <n v="113573.95"/>
        <n v="73800.05"/>
        <n v="17448.52"/>
        <n v="128197.27"/>
        <n v="130082.6"/>
        <n v="4117.7700000000004"/>
        <n v="94404.26"/>
        <n v="62033.87"/>
        <n v="70944.259999999995"/>
        <n v="9421.74"/>
        <n v="191222.26"/>
        <n v="29394.97"/>
        <n v="76834.44"/>
        <n v="142243.53"/>
        <n v="130348.78"/>
        <n v="35645.85"/>
        <n v="39479.839999999997"/>
        <n v="15497.17"/>
        <n v="108602.54"/>
        <n v="77401.539999999994"/>
        <n v="16402.97"/>
        <n v="31847.88"/>
        <n v="22876.78"/>
        <n v="195440.52"/>
        <n v="19378.7"/>
        <n v="2360.41"/>
        <n v="94577.9"/>
        <n v="4575.09"/>
        <n v="189447.37"/>
        <n v="47417.23"/>
        <n v="68836.14"/>
        <n v="27450.86"/>
        <n v="193929.62"/>
        <n v="23018.58"/>
        <n v="118767"/>
        <n v="46385.42"/>
        <n v="7260.29"/>
        <n v="58003.22"/>
        <n v="67813.72"/>
        <n v="93338.73"/>
        <n v="44801.8"/>
        <n v="49518.83"/>
        <n v="64433.34"/>
        <n v="25254.04"/>
        <n v="2350.9"/>
        <n v="97528.26"/>
        <n v="42061.78"/>
        <n v="138924.4"/>
        <n v="117388.86"/>
        <n v="21166.28"/>
        <n v="47727.18"/>
        <n v="42656.2"/>
        <n v="160208.28"/>
        <n v="103106.53"/>
        <n v="10697.35"/>
        <n v="24805.94"/>
        <n v="16798.07"/>
        <n v="179375.09"/>
        <n v="39224.92"/>
        <n v="203210.26"/>
        <n v="90445.440000000002"/>
        <n v="99313.38"/>
        <n v="251055.34"/>
        <n v="64472.59"/>
        <n v="137183.71"/>
        <n v="45660.86"/>
        <n v="27024.54"/>
        <n v="155899.54"/>
        <n v="58568.6"/>
        <n v="147440.04"/>
        <n v="232987.84"/>
        <n v="46985.86"/>
        <n v="32055.29"/>
        <n v="158580.91"/>
        <n v="10158.799999999999"/>
        <n v="169325.35"/>
        <n v="61557.47"/>
        <n v="205810.17"/>
        <n v="101234.79"/>
        <n v="60314.47"/>
        <n v="171374.28"/>
        <n v="35194.51"/>
        <n v="35421.550000000003"/>
        <n v="2940.79"/>
        <n v="29228.95"/>
        <n v="18374.47"/>
        <n v="117842.71"/>
        <n v="29633.49"/>
        <n v="138658.75"/>
        <n v="170050.59"/>
        <n v="57993.81"/>
        <n v="159317.19"/>
        <n v="158797.07999999999"/>
        <n v="159953.01"/>
        <n v="50103.45"/>
        <n v="14975.5"/>
        <n v="7899.8"/>
        <n v="13980.58"/>
        <n v="82149.09"/>
        <n v="91448.52"/>
        <n v="12659.31"/>
        <n v="112958.32"/>
        <n v="2934.99"/>
        <n v="5185.7700000000004"/>
        <n v="8768.2000000000007"/>
        <n v="161625.34"/>
        <n v="115079.79"/>
        <n v="56851.57"/>
        <n v="14731.62"/>
        <n v="38146.85"/>
        <n v="29991.59"/>
        <n v="6898.68"/>
        <n v="178199.27"/>
        <n v="74722.91"/>
        <n v="70396.210000000006"/>
        <n v="74916.62"/>
        <n v="24646.31"/>
        <n v="32250.14"/>
        <n v="208722.45"/>
        <n v="45729.32"/>
        <n v="96775.88"/>
        <n v="104692.31"/>
        <n v="73792.36"/>
        <n v="107288.67"/>
        <n v="28868.98"/>
        <n v="58557.13"/>
        <n v="13880.65"/>
        <n v="114232.94"/>
        <n v="36767.19"/>
        <n v="145853.69"/>
        <n v="38458.61"/>
      </sharedItems>
      <fieldGroup base="5">
        <rangePr startNum="790.84" endNum="291303.34000000003" groupInterval="1000"/>
        <groupItems count="293">
          <s v="&lt;790.84"/>
          <s v="790.84-1790.84"/>
          <s v="1790.84-2790.84"/>
          <s v="2790.84-3790.84"/>
          <s v="3790.84-4790.84"/>
          <s v="4790.84-5790.84"/>
          <s v="5790.84-6790.84"/>
          <s v="6790.84-7790.84"/>
          <s v="7790.84-8790.84"/>
          <s v="8790.84-9790.84"/>
          <s v="9790.84-10790.84"/>
          <s v="10790.84-11790.84"/>
          <s v="11790.84-12790.84"/>
          <s v="12790.84-13790.84"/>
          <s v="13790.84-14790.84"/>
          <s v="14790.84-15790.84"/>
          <s v="15790.84-16790.84"/>
          <s v="16790.84-17790.84"/>
          <s v="17790.84-18790.84"/>
          <s v="18790.84-19790.84"/>
          <s v="19790.84-20790.84"/>
          <s v="20790.84-21790.84"/>
          <s v="21790.84-22790.84"/>
          <s v="22790.84-23790.84"/>
          <s v="23790.84-24790.84"/>
          <s v="24790.84-25790.84"/>
          <s v="25790.84-26790.84"/>
          <s v="26790.84-27790.84"/>
          <s v="27790.84-28790.84"/>
          <s v="28790.84-29790.84"/>
          <s v="29790.84-30790.84"/>
          <s v="30790.84-31790.84"/>
          <s v="31790.84-32790.84"/>
          <s v="32790.84-33790.84"/>
          <s v="33790.84-34790.84"/>
          <s v="34790.84-35790.84"/>
          <s v="35790.84-36790.84"/>
          <s v="36790.84-37790.84"/>
          <s v="37790.84-38790.84"/>
          <s v="38790.84-39790.84"/>
          <s v="39790.84-40790.84"/>
          <s v="40790.84-41790.84"/>
          <s v="41790.84-42790.84"/>
          <s v="42790.84-43790.84"/>
          <s v="43790.84-44790.84"/>
          <s v="44790.84-45790.84"/>
          <s v="45790.84-46790.84"/>
          <s v="46790.84-47790.84"/>
          <s v="47790.84-48790.84"/>
          <s v="48790.84-49790.84"/>
          <s v="49790.84-50790.84"/>
          <s v="50790.84-51790.84"/>
          <s v="51790.84-52790.84"/>
          <s v="52790.84-53790.84"/>
          <s v="53790.84-54790.84"/>
          <s v="54790.84-55790.84"/>
          <s v="55790.84-56790.84"/>
          <s v="56790.84-57790.84"/>
          <s v="57790.84-58790.84"/>
          <s v="58790.84-59790.84"/>
          <s v="59790.84-60790.84"/>
          <s v="60790.84-61790.84"/>
          <s v="61790.84-62790.84"/>
          <s v="62790.84-63790.84"/>
          <s v="63790.84-64790.84"/>
          <s v="64790.84-65790.84"/>
          <s v="65790.84-66790.84"/>
          <s v="66790.84-67790.84"/>
          <s v="67790.84-68790.84"/>
          <s v="68790.84-69790.84"/>
          <s v="69790.84-70790.84"/>
          <s v="70790.84-71790.84"/>
          <s v="71790.84-72790.84"/>
          <s v="72790.84-73790.84"/>
          <s v="73790.84-74790.84"/>
          <s v="74790.84-75790.84"/>
          <s v="75790.84-76790.84"/>
          <s v="76790.84-77790.84"/>
          <s v="77790.84-78790.84"/>
          <s v="78790.84-79790.84"/>
          <s v="79790.84-80790.84"/>
          <s v="80790.84-81790.84"/>
          <s v="81790.84-82790.84"/>
          <s v="82790.84-83790.84"/>
          <s v="83790.84-84790.84"/>
          <s v="84790.84-85790.84"/>
          <s v="85790.84-86790.84"/>
          <s v="86790.84-87790.84"/>
          <s v="87790.84-88790.84"/>
          <s v="88790.84-89790.84"/>
          <s v="89790.84-90790.84"/>
          <s v="90790.84-91790.84"/>
          <s v="91790.84-92790.84"/>
          <s v="92790.84-93790.84"/>
          <s v="93790.84-94790.84"/>
          <s v="94790.84-95790.84"/>
          <s v="95790.84-96790.84"/>
          <s v="96790.84-97790.84"/>
          <s v="97790.84-98790.84"/>
          <s v="98790.84-99790.84"/>
          <s v="99790.84-100790.84"/>
          <s v="100790.84-101790.84"/>
          <s v="101790.84-102790.84"/>
          <s v="102790.84-103790.84"/>
          <s v="103790.84-104790.84"/>
          <s v="104790.84-105790.84"/>
          <s v="105790.84-106790.84"/>
          <s v="106790.84-107790.84"/>
          <s v="107790.84-108790.84"/>
          <s v="108790.84-109790.84"/>
          <s v="109790.84-110790.84"/>
          <s v="110790.84-111790.84"/>
          <s v="111790.84-112790.84"/>
          <s v="112790.84-113790.84"/>
          <s v="113790.84-114790.84"/>
          <s v="114790.84-115790.84"/>
          <s v="115790.84-116790.84"/>
          <s v="116790.84-117790.84"/>
          <s v="117790.84-118790.84"/>
          <s v="118790.84-119790.84"/>
          <s v="119790.84-120790.84"/>
          <s v="120790.84-121790.84"/>
          <s v="121790.84-122790.84"/>
          <s v="122790.84-123790.84"/>
          <s v="123790.84-124790.84"/>
          <s v="124790.84-125790.84"/>
          <s v="125790.84-126790.84"/>
          <s v="126790.84-127790.84"/>
          <s v="127790.84-128790.84"/>
          <s v="128790.84-129790.84"/>
          <s v="129790.84-130790.84"/>
          <s v="130790.84-131790.84"/>
          <s v="131790.84-132790.84"/>
          <s v="132790.84-133790.84"/>
          <s v="133790.84-134790.84"/>
          <s v="134790.84-135790.84"/>
          <s v="135790.84-136790.84"/>
          <s v="136790.84-137790.84"/>
          <s v="137790.84-138790.84"/>
          <s v="138790.84-139790.84"/>
          <s v="139790.84-140790.84"/>
          <s v="140790.84-141790.84"/>
          <s v="141790.84-142790.84"/>
          <s v="142790.84-143790.84"/>
          <s v="143790.84-144790.84"/>
          <s v="144790.84-145790.84"/>
          <s v="145790.84-146790.84"/>
          <s v="146790.84-147790.84"/>
          <s v="147790.84-148790.84"/>
          <s v="148790.84-149790.84"/>
          <s v="149790.84-150790.84"/>
          <s v="150790.84-151790.84"/>
          <s v="151790.84-152790.84"/>
          <s v="152790.84-153790.84"/>
          <s v="153790.84-154790.84"/>
          <s v="154790.84-155790.84"/>
          <s v="155790.84-156790.84"/>
          <s v="156790.84-157790.84"/>
          <s v="157790.84-158790.84"/>
          <s v="158790.84-159790.84"/>
          <s v="159790.84-160790.84"/>
          <s v="160790.84-161790.84"/>
          <s v="161790.84-162790.84"/>
          <s v="162790.84-163790.84"/>
          <s v="163790.84-164790.84"/>
          <s v="164790.84-165790.84"/>
          <s v="165790.84-166790.84"/>
          <s v="166790.84-167790.84"/>
          <s v="167790.84-168790.84"/>
          <s v="168790.84-169790.84"/>
          <s v="169790.84-170790.84"/>
          <s v="170790.84-171790.84"/>
          <s v="171790.84-172790.84"/>
          <s v="172790.84-173790.84"/>
          <s v="173790.84-174790.84"/>
          <s v="174790.84-175790.84"/>
          <s v="175790.84-176790.84"/>
          <s v="176790.84-177790.84"/>
          <s v="177790.84-178790.84"/>
          <s v="178790.84-179790.84"/>
          <s v="179790.84-180790.84"/>
          <s v="180790.84-181790.84"/>
          <s v="181790.84-182790.84"/>
          <s v="182790.84-183790.84"/>
          <s v="183790.84-184790.84"/>
          <s v="184790.84-185790.84"/>
          <s v="185790.84-186790.84"/>
          <s v="186790.84-187790.84"/>
          <s v="187790.84-188790.84"/>
          <s v="188790.84-189790.84"/>
          <s v="189790.84-190790.84"/>
          <s v="190790.84-191790.84"/>
          <s v="191790.84-192790.84"/>
          <s v="192790.84-193790.84"/>
          <s v="193790.84-194790.84"/>
          <s v="194790.84-195790.84"/>
          <s v="195790.84-196790.84"/>
          <s v="196790.84-197790.84"/>
          <s v="197790.84-198790.84"/>
          <s v="198790.84-199790.84"/>
          <s v="199790.84-200790.84"/>
          <s v="200790.84-201790.84"/>
          <s v="201790.84-202790.84"/>
          <s v="202790.84-203790.84"/>
          <s v="203790.84-204790.84"/>
          <s v="204790.84-205790.84"/>
          <s v="205790.84-206790.84"/>
          <s v="206790.84-207790.84"/>
          <s v="207790.84-208790.84"/>
          <s v="208790.84-209790.84"/>
          <s v="209790.84-210790.84"/>
          <s v="210790.84-211790.84"/>
          <s v="211790.84-212790.84"/>
          <s v="212790.84-213790.84"/>
          <s v="213790.84-214790.84"/>
          <s v="214790.84-215790.84"/>
          <s v="215790.84-216790.84"/>
          <s v="216790.84-217790.84"/>
          <s v="217790.84-218790.84"/>
          <s v="218790.84-219790.84"/>
          <s v="219790.84-220790.84"/>
          <s v="220790.84-221790.84"/>
          <s v="221790.84-222790.84"/>
          <s v="222790.84-223790.84"/>
          <s v="223790.84-224790.84"/>
          <s v="224790.84-225790.84"/>
          <s v="225790.84-226790.84"/>
          <s v="226790.84-227790.84"/>
          <s v="227790.84-228790.84"/>
          <s v="228790.84-229790.84"/>
          <s v="229790.84-230790.84"/>
          <s v="230790.84-231790.84"/>
          <s v="231790.84-232790.84"/>
          <s v="232790.84-233790.84"/>
          <s v="233790.84-234790.84"/>
          <s v="234790.84-235790.84"/>
          <s v="235790.84-236790.84"/>
          <s v="236790.84-237790.84"/>
          <s v="237790.84-238790.84"/>
          <s v="238790.84-239790.84"/>
          <s v="239790.84-240790.84"/>
          <s v="240790.84-241790.84"/>
          <s v="241790.84-242790.84"/>
          <s v="242790.84-243790.84"/>
          <s v="243790.84-244790.84"/>
          <s v="244790.84-245790.84"/>
          <s v="245790.84-246790.84"/>
          <s v="246790.84-247790.84"/>
          <s v="247790.84-248790.84"/>
          <s v="248790.84-249790.84"/>
          <s v="249790.84-250790.84"/>
          <s v="250790.84-251790.84"/>
          <s v="251790.84-252790.84"/>
          <s v="252790.84-253790.84"/>
          <s v="253790.84-254790.84"/>
          <s v="254790.84-255790.84"/>
          <s v="255790.84-256790.84"/>
          <s v="256790.84-257790.84"/>
          <s v="257790.84-258790.84"/>
          <s v="258790.84-259790.84"/>
          <s v="259790.84-260790.84"/>
          <s v="260790.84-261790.84"/>
          <s v="261790.84-262790.84"/>
          <s v="262790.84-263790.84"/>
          <s v="263790.84-264790.84"/>
          <s v="264790.84-265790.84"/>
          <s v="265790.84-266790.84"/>
          <s v="266790.84-267790.84"/>
          <s v="267790.84-268790.84"/>
          <s v="268790.84-269790.84"/>
          <s v="269790.84-270790.84"/>
          <s v="270790.84-271790.84"/>
          <s v="271790.84-272790.84"/>
          <s v="272790.84-273790.84"/>
          <s v="273790.84-274790.84"/>
          <s v="274790.84-275790.84"/>
          <s v="275790.84-276790.84"/>
          <s v="276790.84-277790.84"/>
          <s v="277790.84-278790.84"/>
          <s v="278790.84-279790.84"/>
          <s v="279790.84-280790.84"/>
          <s v="280790.84-281790.84"/>
          <s v="281790.84-282790.84"/>
          <s v="282790.84-283790.84"/>
          <s v="283790.84-284790.84"/>
          <s v="284790.84-285790.84"/>
          <s v="285790.84-286790.84"/>
          <s v="286790.84-287790.84"/>
          <s v="287790.84-288790.84"/>
          <s v="288790.84-289790.84"/>
          <s v="289790.84-290790.84"/>
          <s v="290790.84-291790.84"/>
          <s v="&gt;291790.84"/>
        </groupItems>
      </fieldGroup>
    </cacheField>
    <cacheField name="Contract_Type" numFmtId="49">
      <sharedItems count="3">
        <s v="Month-to-Month"/>
        <s v="Two Year"/>
        <s v="One Year"/>
      </sharedItems>
    </cacheField>
    <cacheField name="Payment_Method" numFmtId="0">
      <sharedItems count="5">
        <s v="UPI"/>
        <s v="Credit Card"/>
        <s v="Cash"/>
        <s v="Debit Card"/>
        <s v="Net Banking"/>
      </sharedItems>
    </cacheField>
    <cacheField name="Support_Calls" numFmtId="0">
      <sharedItems containsSemiMixedTypes="0" containsString="0" containsNumber="1" containsInteger="1" minValue="0" maxValue="10"/>
    </cacheField>
    <cacheField name="Internet_Service" numFmtId="0">
      <sharedItems count="3">
        <s v="No"/>
        <s v="Fiber"/>
        <s v="DSL"/>
      </sharedItems>
    </cacheField>
    <cacheField name="Churn" numFmtId="49">
      <sharedItems count="2">
        <s v="No"/>
        <s v="Yes"/>
      </sharedItems>
    </cacheField>
    <cacheField name="Age Group" numFmtId="0">
      <sharedItems count="5">
        <s v="55+"/>
        <s v="Under 25"/>
        <s v="25-34"/>
        <s v="45-54"/>
        <s v="35-4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UST-1001"/>
    <n v="58"/>
    <x v="0"/>
    <x v="0"/>
    <x v="0"/>
    <x v="0"/>
    <x v="0"/>
    <x v="0"/>
    <n v="10"/>
    <x v="0"/>
    <x v="0"/>
    <x v="0"/>
  </r>
  <r>
    <s v="CUST-1002"/>
    <n v="23"/>
    <x v="1"/>
    <x v="1"/>
    <x v="1"/>
    <x v="1"/>
    <x v="0"/>
    <x v="0"/>
    <n v="8"/>
    <x v="1"/>
    <x v="0"/>
    <x v="1"/>
  </r>
  <r>
    <s v="CUST-1003"/>
    <n v="62"/>
    <x v="1"/>
    <x v="2"/>
    <x v="2"/>
    <x v="2"/>
    <x v="1"/>
    <x v="1"/>
    <n v="6"/>
    <x v="2"/>
    <x v="1"/>
    <x v="0"/>
  </r>
  <r>
    <s v="CUST-1004"/>
    <n v="31"/>
    <x v="1"/>
    <x v="3"/>
    <x v="3"/>
    <x v="3"/>
    <x v="1"/>
    <x v="2"/>
    <n v="4"/>
    <x v="1"/>
    <x v="0"/>
    <x v="2"/>
  </r>
  <r>
    <s v="CUST-1005"/>
    <n v="52"/>
    <x v="0"/>
    <x v="4"/>
    <x v="4"/>
    <x v="4"/>
    <x v="1"/>
    <x v="2"/>
    <n v="5"/>
    <x v="0"/>
    <x v="1"/>
    <x v="3"/>
  </r>
  <r>
    <s v="CUST-1006"/>
    <n v="22"/>
    <x v="0"/>
    <x v="5"/>
    <x v="5"/>
    <x v="5"/>
    <x v="0"/>
    <x v="1"/>
    <n v="1"/>
    <x v="2"/>
    <x v="1"/>
    <x v="1"/>
  </r>
  <r>
    <s v="CUST-1007"/>
    <n v="58"/>
    <x v="1"/>
    <x v="6"/>
    <x v="6"/>
    <x v="6"/>
    <x v="0"/>
    <x v="0"/>
    <n v="9"/>
    <x v="0"/>
    <x v="1"/>
    <x v="0"/>
  </r>
  <r>
    <s v="CUST-1008"/>
    <n v="64"/>
    <x v="0"/>
    <x v="6"/>
    <x v="7"/>
    <x v="7"/>
    <x v="1"/>
    <x v="2"/>
    <n v="3"/>
    <x v="0"/>
    <x v="1"/>
    <x v="0"/>
  </r>
  <r>
    <s v="CUST-1009"/>
    <n v="21"/>
    <x v="0"/>
    <x v="7"/>
    <x v="8"/>
    <x v="8"/>
    <x v="0"/>
    <x v="1"/>
    <n v="9"/>
    <x v="0"/>
    <x v="1"/>
    <x v="1"/>
  </r>
  <r>
    <s v="CUST-1010"/>
    <n v="59"/>
    <x v="1"/>
    <x v="8"/>
    <x v="9"/>
    <x v="9"/>
    <x v="0"/>
    <x v="1"/>
    <n v="3"/>
    <x v="0"/>
    <x v="0"/>
    <x v="0"/>
  </r>
  <r>
    <s v="CUST-1011"/>
    <n v="34"/>
    <x v="1"/>
    <x v="9"/>
    <x v="10"/>
    <x v="10"/>
    <x v="1"/>
    <x v="1"/>
    <n v="8"/>
    <x v="2"/>
    <x v="1"/>
    <x v="2"/>
  </r>
  <r>
    <s v="CUST-1012"/>
    <n v="21"/>
    <x v="0"/>
    <x v="10"/>
    <x v="11"/>
    <x v="11"/>
    <x v="0"/>
    <x v="0"/>
    <n v="6"/>
    <x v="2"/>
    <x v="1"/>
    <x v="1"/>
  </r>
  <r>
    <s v="CUST-1013"/>
    <n v="47"/>
    <x v="1"/>
    <x v="11"/>
    <x v="12"/>
    <x v="12"/>
    <x v="2"/>
    <x v="2"/>
    <n v="4"/>
    <x v="0"/>
    <x v="0"/>
    <x v="3"/>
  </r>
  <r>
    <s v="CUST-1014"/>
    <n v="36"/>
    <x v="1"/>
    <x v="6"/>
    <x v="13"/>
    <x v="13"/>
    <x v="1"/>
    <x v="3"/>
    <n v="8"/>
    <x v="1"/>
    <x v="1"/>
    <x v="4"/>
  </r>
  <r>
    <s v="CUST-1015"/>
    <n v="24"/>
    <x v="1"/>
    <x v="12"/>
    <x v="14"/>
    <x v="14"/>
    <x v="0"/>
    <x v="1"/>
    <n v="8"/>
    <x v="0"/>
    <x v="0"/>
    <x v="1"/>
  </r>
  <r>
    <s v="CUST-1016"/>
    <n v="56"/>
    <x v="1"/>
    <x v="13"/>
    <x v="15"/>
    <x v="15"/>
    <x v="1"/>
    <x v="3"/>
    <n v="3"/>
    <x v="1"/>
    <x v="1"/>
    <x v="0"/>
  </r>
  <r>
    <s v="CUST-1017"/>
    <n v="54"/>
    <x v="0"/>
    <x v="14"/>
    <x v="16"/>
    <x v="16"/>
    <x v="1"/>
    <x v="2"/>
    <n v="2"/>
    <x v="1"/>
    <x v="0"/>
    <x v="3"/>
  </r>
  <r>
    <s v="CUST-1018"/>
    <n v="53"/>
    <x v="0"/>
    <x v="15"/>
    <x v="17"/>
    <x v="17"/>
    <x v="1"/>
    <x v="2"/>
    <n v="3"/>
    <x v="0"/>
    <x v="0"/>
    <x v="3"/>
  </r>
  <r>
    <s v="CUST-1019"/>
    <n v="60"/>
    <x v="1"/>
    <x v="16"/>
    <x v="18"/>
    <x v="18"/>
    <x v="0"/>
    <x v="0"/>
    <n v="5"/>
    <x v="1"/>
    <x v="0"/>
    <x v="0"/>
  </r>
  <r>
    <s v="CUST-1020"/>
    <n v="32"/>
    <x v="0"/>
    <x v="17"/>
    <x v="19"/>
    <x v="19"/>
    <x v="0"/>
    <x v="0"/>
    <n v="5"/>
    <x v="1"/>
    <x v="1"/>
    <x v="2"/>
  </r>
  <r>
    <s v="CUST-1021"/>
    <n v="35"/>
    <x v="1"/>
    <x v="18"/>
    <x v="20"/>
    <x v="20"/>
    <x v="1"/>
    <x v="2"/>
    <n v="7"/>
    <x v="1"/>
    <x v="0"/>
    <x v="4"/>
  </r>
  <r>
    <s v="CUST-1022"/>
    <n v="44"/>
    <x v="0"/>
    <x v="3"/>
    <x v="21"/>
    <x v="21"/>
    <x v="0"/>
    <x v="4"/>
    <n v="0"/>
    <x v="0"/>
    <x v="0"/>
    <x v="4"/>
  </r>
  <r>
    <s v="CUST-1023"/>
    <n v="59"/>
    <x v="0"/>
    <x v="19"/>
    <x v="22"/>
    <x v="22"/>
    <x v="1"/>
    <x v="1"/>
    <n v="3"/>
    <x v="1"/>
    <x v="0"/>
    <x v="0"/>
  </r>
  <r>
    <s v="CUST-1024"/>
    <n v="26"/>
    <x v="1"/>
    <x v="20"/>
    <x v="23"/>
    <x v="23"/>
    <x v="1"/>
    <x v="4"/>
    <n v="8"/>
    <x v="1"/>
    <x v="1"/>
    <x v="2"/>
  </r>
  <r>
    <s v="CUST-1025"/>
    <n v="52"/>
    <x v="0"/>
    <x v="14"/>
    <x v="24"/>
    <x v="24"/>
    <x v="0"/>
    <x v="4"/>
    <n v="7"/>
    <x v="1"/>
    <x v="0"/>
    <x v="3"/>
  </r>
  <r>
    <s v="CUST-1026"/>
    <n v="21"/>
    <x v="0"/>
    <x v="21"/>
    <x v="25"/>
    <x v="25"/>
    <x v="1"/>
    <x v="4"/>
    <n v="4"/>
    <x v="2"/>
    <x v="0"/>
    <x v="1"/>
  </r>
  <r>
    <s v="CUST-1027"/>
    <n v="64"/>
    <x v="1"/>
    <x v="10"/>
    <x v="26"/>
    <x v="26"/>
    <x v="0"/>
    <x v="2"/>
    <n v="0"/>
    <x v="0"/>
    <x v="1"/>
    <x v="0"/>
  </r>
  <r>
    <s v="CUST-1028"/>
    <n v="21"/>
    <x v="1"/>
    <x v="22"/>
    <x v="27"/>
    <x v="27"/>
    <x v="0"/>
    <x v="2"/>
    <n v="1"/>
    <x v="1"/>
    <x v="1"/>
    <x v="1"/>
  </r>
  <r>
    <s v="CUST-1029"/>
    <n v="22"/>
    <x v="0"/>
    <x v="8"/>
    <x v="28"/>
    <x v="28"/>
    <x v="0"/>
    <x v="2"/>
    <n v="0"/>
    <x v="0"/>
    <x v="1"/>
    <x v="1"/>
  </r>
  <r>
    <s v="CUST-1030"/>
    <n v="60"/>
    <x v="1"/>
    <x v="4"/>
    <x v="29"/>
    <x v="29"/>
    <x v="0"/>
    <x v="3"/>
    <n v="6"/>
    <x v="1"/>
    <x v="0"/>
    <x v="0"/>
  </r>
  <r>
    <s v="CUST-1031"/>
    <n v="37"/>
    <x v="1"/>
    <x v="23"/>
    <x v="30"/>
    <x v="30"/>
    <x v="0"/>
    <x v="2"/>
    <n v="9"/>
    <x v="1"/>
    <x v="1"/>
    <x v="4"/>
  </r>
  <r>
    <s v="CUST-1032"/>
    <n v="31"/>
    <x v="1"/>
    <x v="24"/>
    <x v="31"/>
    <x v="31"/>
    <x v="1"/>
    <x v="3"/>
    <n v="4"/>
    <x v="1"/>
    <x v="1"/>
    <x v="2"/>
  </r>
  <r>
    <s v="CUST-1033"/>
    <n v="52"/>
    <x v="1"/>
    <x v="25"/>
    <x v="32"/>
    <x v="32"/>
    <x v="0"/>
    <x v="2"/>
    <n v="4"/>
    <x v="0"/>
    <x v="1"/>
    <x v="3"/>
  </r>
  <r>
    <s v="CUST-1034"/>
    <n v="26"/>
    <x v="1"/>
    <x v="26"/>
    <x v="33"/>
    <x v="33"/>
    <x v="0"/>
    <x v="3"/>
    <n v="9"/>
    <x v="1"/>
    <x v="1"/>
    <x v="2"/>
  </r>
  <r>
    <s v="CUST-1035"/>
    <n v="31"/>
    <x v="1"/>
    <x v="22"/>
    <x v="34"/>
    <x v="34"/>
    <x v="1"/>
    <x v="0"/>
    <n v="10"/>
    <x v="2"/>
    <x v="0"/>
    <x v="2"/>
  </r>
  <r>
    <s v="CUST-1036"/>
    <n v="20"/>
    <x v="0"/>
    <x v="27"/>
    <x v="35"/>
    <x v="35"/>
    <x v="0"/>
    <x v="4"/>
    <n v="8"/>
    <x v="0"/>
    <x v="1"/>
    <x v="1"/>
  </r>
  <r>
    <s v="CUST-1037"/>
    <n v="18"/>
    <x v="0"/>
    <x v="28"/>
    <x v="36"/>
    <x v="36"/>
    <x v="0"/>
    <x v="0"/>
    <n v="5"/>
    <x v="0"/>
    <x v="1"/>
    <x v="1"/>
  </r>
  <r>
    <s v="CUST-1038"/>
    <n v="45"/>
    <x v="0"/>
    <x v="1"/>
    <x v="37"/>
    <x v="37"/>
    <x v="2"/>
    <x v="0"/>
    <n v="5"/>
    <x v="1"/>
    <x v="0"/>
    <x v="3"/>
  </r>
  <r>
    <s v="CUST-1039"/>
    <n v="60"/>
    <x v="0"/>
    <x v="29"/>
    <x v="38"/>
    <x v="38"/>
    <x v="0"/>
    <x v="2"/>
    <n v="2"/>
    <x v="1"/>
    <x v="0"/>
    <x v="0"/>
  </r>
  <r>
    <s v="CUST-1040"/>
    <n v="29"/>
    <x v="1"/>
    <x v="0"/>
    <x v="39"/>
    <x v="39"/>
    <x v="2"/>
    <x v="4"/>
    <n v="10"/>
    <x v="0"/>
    <x v="0"/>
    <x v="2"/>
  </r>
  <r>
    <s v="CUST-1041"/>
    <n v="35"/>
    <x v="0"/>
    <x v="30"/>
    <x v="40"/>
    <x v="40"/>
    <x v="0"/>
    <x v="4"/>
    <n v="3"/>
    <x v="1"/>
    <x v="0"/>
    <x v="4"/>
  </r>
  <r>
    <s v="CUST-1042"/>
    <n v="47"/>
    <x v="1"/>
    <x v="31"/>
    <x v="41"/>
    <x v="41"/>
    <x v="0"/>
    <x v="1"/>
    <n v="6"/>
    <x v="2"/>
    <x v="1"/>
    <x v="3"/>
  </r>
  <r>
    <s v="CUST-1043"/>
    <n v="22"/>
    <x v="1"/>
    <x v="29"/>
    <x v="42"/>
    <x v="42"/>
    <x v="1"/>
    <x v="2"/>
    <n v="5"/>
    <x v="1"/>
    <x v="1"/>
    <x v="1"/>
  </r>
  <r>
    <s v="CUST-1044"/>
    <n v="34"/>
    <x v="0"/>
    <x v="32"/>
    <x v="43"/>
    <x v="43"/>
    <x v="0"/>
    <x v="4"/>
    <n v="5"/>
    <x v="0"/>
    <x v="0"/>
    <x v="2"/>
  </r>
  <r>
    <s v="CUST-1045"/>
    <n v="45"/>
    <x v="0"/>
    <x v="21"/>
    <x v="44"/>
    <x v="44"/>
    <x v="0"/>
    <x v="4"/>
    <n v="0"/>
    <x v="0"/>
    <x v="0"/>
    <x v="3"/>
  </r>
  <r>
    <s v="CUST-1046"/>
    <n v="52"/>
    <x v="0"/>
    <x v="33"/>
    <x v="45"/>
    <x v="45"/>
    <x v="1"/>
    <x v="2"/>
    <n v="5"/>
    <x v="0"/>
    <x v="0"/>
    <x v="3"/>
  </r>
  <r>
    <s v="CUST-1047"/>
    <n v="64"/>
    <x v="1"/>
    <x v="22"/>
    <x v="46"/>
    <x v="46"/>
    <x v="0"/>
    <x v="3"/>
    <n v="8"/>
    <x v="1"/>
    <x v="1"/>
    <x v="0"/>
  </r>
  <r>
    <s v="CUST-1048"/>
    <n v="60"/>
    <x v="1"/>
    <x v="34"/>
    <x v="47"/>
    <x v="47"/>
    <x v="2"/>
    <x v="4"/>
    <n v="8"/>
    <x v="1"/>
    <x v="1"/>
    <x v="0"/>
  </r>
  <r>
    <s v="CUST-1049"/>
    <n v="31"/>
    <x v="1"/>
    <x v="30"/>
    <x v="48"/>
    <x v="48"/>
    <x v="0"/>
    <x v="4"/>
    <n v="10"/>
    <x v="1"/>
    <x v="1"/>
    <x v="2"/>
  </r>
  <r>
    <s v="CUST-1050"/>
    <n v="65"/>
    <x v="0"/>
    <x v="5"/>
    <x v="49"/>
    <x v="49"/>
    <x v="2"/>
    <x v="3"/>
    <n v="1"/>
    <x v="1"/>
    <x v="0"/>
    <x v="0"/>
  </r>
  <r>
    <s v="CUST-1051"/>
    <n v="32"/>
    <x v="0"/>
    <x v="10"/>
    <x v="50"/>
    <x v="50"/>
    <x v="0"/>
    <x v="0"/>
    <n v="7"/>
    <x v="2"/>
    <x v="0"/>
    <x v="2"/>
  </r>
  <r>
    <s v="CUST-1052"/>
    <n v="54"/>
    <x v="0"/>
    <x v="35"/>
    <x v="51"/>
    <x v="51"/>
    <x v="0"/>
    <x v="0"/>
    <n v="1"/>
    <x v="2"/>
    <x v="1"/>
    <x v="3"/>
  </r>
  <r>
    <s v="CUST-1053"/>
    <n v="62"/>
    <x v="1"/>
    <x v="19"/>
    <x v="52"/>
    <x v="52"/>
    <x v="0"/>
    <x v="1"/>
    <n v="7"/>
    <x v="0"/>
    <x v="1"/>
    <x v="0"/>
  </r>
  <r>
    <s v="CUST-1054"/>
    <n v="53"/>
    <x v="1"/>
    <x v="36"/>
    <x v="53"/>
    <x v="53"/>
    <x v="2"/>
    <x v="2"/>
    <n v="6"/>
    <x v="0"/>
    <x v="0"/>
    <x v="3"/>
  </r>
  <r>
    <s v="CUST-1055"/>
    <n v="28"/>
    <x v="1"/>
    <x v="16"/>
    <x v="54"/>
    <x v="54"/>
    <x v="2"/>
    <x v="2"/>
    <n v="7"/>
    <x v="0"/>
    <x v="1"/>
    <x v="2"/>
  </r>
  <r>
    <s v="CUST-1056"/>
    <n v="46"/>
    <x v="0"/>
    <x v="35"/>
    <x v="55"/>
    <x v="55"/>
    <x v="0"/>
    <x v="2"/>
    <n v="1"/>
    <x v="1"/>
    <x v="1"/>
    <x v="3"/>
  </r>
  <r>
    <s v="CUST-1057"/>
    <n v="42"/>
    <x v="0"/>
    <x v="35"/>
    <x v="56"/>
    <x v="56"/>
    <x v="0"/>
    <x v="4"/>
    <n v="6"/>
    <x v="1"/>
    <x v="1"/>
    <x v="4"/>
  </r>
  <r>
    <s v="CUST-1058"/>
    <n v="44"/>
    <x v="1"/>
    <x v="9"/>
    <x v="57"/>
    <x v="57"/>
    <x v="0"/>
    <x v="2"/>
    <n v="6"/>
    <x v="2"/>
    <x v="1"/>
    <x v="4"/>
  </r>
  <r>
    <s v="CUST-1059"/>
    <n v="40"/>
    <x v="1"/>
    <x v="36"/>
    <x v="58"/>
    <x v="58"/>
    <x v="1"/>
    <x v="2"/>
    <n v="8"/>
    <x v="0"/>
    <x v="0"/>
    <x v="4"/>
  </r>
  <r>
    <s v="CUST-1060"/>
    <n v="49"/>
    <x v="0"/>
    <x v="37"/>
    <x v="59"/>
    <x v="59"/>
    <x v="0"/>
    <x v="4"/>
    <n v="2"/>
    <x v="2"/>
    <x v="0"/>
    <x v="3"/>
  </r>
  <r>
    <s v="CUST-1061"/>
    <n v="57"/>
    <x v="0"/>
    <x v="38"/>
    <x v="60"/>
    <x v="60"/>
    <x v="0"/>
    <x v="4"/>
    <n v="2"/>
    <x v="2"/>
    <x v="1"/>
    <x v="0"/>
  </r>
  <r>
    <s v="CUST-1062"/>
    <n v="34"/>
    <x v="1"/>
    <x v="23"/>
    <x v="61"/>
    <x v="61"/>
    <x v="2"/>
    <x v="4"/>
    <n v="4"/>
    <x v="2"/>
    <x v="1"/>
    <x v="2"/>
  </r>
  <r>
    <s v="CUST-1063"/>
    <n v="23"/>
    <x v="1"/>
    <x v="0"/>
    <x v="62"/>
    <x v="62"/>
    <x v="1"/>
    <x v="1"/>
    <n v="10"/>
    <x v="1"/>
    <x v="0"/>
    <x v="1"/>
  </r>
  <r>
    <s v="CUST-1064"/>
    <n v="59"/>
    <x v="0"/>
    <x v="36"/>
    <x v="63"/>
    <x v="63"/>
    <x v="1"/>
    <x v="2"/>
    <n v="2"/>
    <x v="1"/>
    <x v="1"/>
    <x v="0"/>
  </r>
  <r>
    <s v="CUST-1065"/>
    <n v="60"/>
    <x v="0"/>
    <x v="39"/>
    <x v="64"/>
    <x v="64"/>
    <x v="0"/>
    <x v="3"/>
    <n v="2"/>
    <x v="0"/>
    <x v="0"/>
    <x v="0"/>
  </r>
  <r>
    <s v="CUST-1066"/>
    <n v="65"/>
    <x v="0"/>
    <x v="40"/>
    <x v="65"/>
    <x v="65"/>
    <x v="0"/>
    <x v="0"/>
    <n v="4"/>
    <x v="0"/>
    <x v="0"/>
    <x v="0"/>
  </r>
  <r>
    <s v="CUST-1067"/>
    <n v="42"/>
    <x v="1"/>
    <x v="35"/>
    <x v="66"/>
    <x v="66"/>
    <x v="1"/>
    <x v="1"/>
    <n v="1"/>
    <x v="0"/>
    <x v="0"/>
    <x v="4"/>
  </r>
  <r>
    <s v="CUST-1068"/>
    <n v="61"/>
    <x v="0"/>
    <x v="30"/>
    <x v="67"/>
    <x v="67"/>
    <x v="0"/>
    <x v="4"/>
    <n v="10"/>
    <x v="2"/>
    <x v="1"/>
    <x v="0"/>
  </r>
  <r>
    <s v="CUST-1069"/>
    <n v="59"/>
    <x v="1"/>
    <x v="17"/>
    <x v="68"/>
    <x v="68"/>
    <x v="0"/>
    <x v="3"/>
    <n v="10"/>
    <x v="2"/>
    <x v="0"/>
    <x v="0"/>
  </r>
  <r>
    <s v="CUST-1070"/>
    <n v="45"/>
    <x v="0"/>
    <x v="41"/>
    <x v="69"/>
    <x v="69"/>
    <x v="2"/>
    <x v="2"/>
    <n v="7"/>
    <x v="2"/>
    <x v="0"/>
    <x v="3"/>
  </r>
  <r>
    <s v="CUST-1071"/>
    <n v="64"/>
    <x v="1"/>
    <x v="23"/>
    <x v="70"/>
    <x v="70"/>
    <x v="0"/>
    <x v="4"/>
    <n v="3"/>
    <x v="2"/>
    <x v="0"/>
    <x v="0"/>
  </r>
  <r>
    <s v="CUST-1072"/>
    <n v="60"/>
    <x v="1"/>
    <x v="27"/>
    <x v="71"/>
    <x v="71"/>
    <x v="0"/>
    <x v="1"/>
    <n v="5"/>
    <x v="2"/>
    <x v="1"/>
    <x v="0"/>
  </r>
  <r>
    <s v="CUST-1073"/>
    <n v="56"/>
    <x v="1"/>
    <x v="11"/>
    <x v="72"/>
    <x v="72"/>
    <x v="0"/>
    <x v="4"/>
    <n v="7"/>
    <x v="0"/>
    <x v="0"/>
    <x v="0"/>
  </r>
  <r>
    <s v="CUST-1074"/>
    <n v="62"/>
    <x v="1"/>
    <x v="42"/>
    <x v="73"/>
    <x v="73"/>
    <x v="0"/>
    <x v="3"/>
    <n v="3"/>
    <x v="2"/>
    <x v="0"/>
    <x v="0"/>
  </r>
  <r>
    <s v="CUST-1075"/>
    <n v="37"/>
    <x v="1"/>
    <x v="43"/>
    <x v="74"/>
    <x v="74"/>
    <x v="1"/>
    <x v="2"/>
    <n v="5"/>
    <x v="2"/>
    <x v="0"/>
    <x v="4"/>
  </r>
  <r>
    <s v="CUST-1076"/>
    <n v="35"/>
    <x v="1"/>
    <x v="15"/>
    <x v="75"/>
    <x v="75"/>
    <x v="0"/>
    <x v="2"/>
    <n v="2"/>
    <x v="1"/>
    <x v="1"/>
    <x v="4"/>
  </r>
  <r>
    <s v="CUST-1077"/>
    <n v="48"/>
    <x v="1"/>
    <x v="41"/>
    <x v="76"/>
    <x v="76"/>
    <x v="2"/>
    <x v="0"/>
    <n v="3"/>
    <x v="2"/>
    <x v="0"/>
    <x v="3"/>
  </r>
  <r>
    <s v="CUST-1078"/>
    <n v="29"/>
    <x v="1"/>
    <x v="17"/>
    <x v="77"/>
    <x v="77"/>
    <x v="0"/>
    <x v="0"/>
    <n v="8"/>
    <x v="2"/>
    <x v="0"/>
    <x v="2"/>
  </r>
  <r>
    <s v="CUST-1079"/>
    <n v="26"/>
    <x v="1"/>
    <x v="3"/>
    <x v="78"/>
    <x v="78"/>
    <x v="0"/>
    <x v="4"/>
    <n v="5"/>
    <x v="1"/>
    <x v="0"/>
    <x v="2"/>
  </r>
  <r>
    <s v="CUST-1080"/>
    <n v="34"/>
    <x v="1"/>
    <x v="26"/>
    <x v="79"/>
    <x v="79"/>
    <x v="0"/>
    <x v="0"/>
    <n v="2"/>
    <x v="1"/>
    <x v="0"/>
    <x v="2"/>
  </r>
  <r>
    <s v="CUST-1081"/>
    <n v="37"/>
    <x v="0"/>
    <x v="44"/>
    <x v="80"/>
    <x v="80"/>
    <x v="2"/>
    <x v="2"/>
    <n v="3"/>
    <x v="0"/>
    <x v="0"/>
    <x v="4"/>
  </r>
  <r>
    <s v="CUST-1082"/>
    <n v="46"/>
    <x v="1"/>
    <x v="45"/>
    <x v="81"/>
    <x v="81"/>
    <x v="2"/>
    <x v="0"/>
    <n v="9"/>
    <x v="0"/>
    <x v="1"/>
    <x v="3"/>
  </r>
  <r>
    <s v="CUST-1083"/>
    <n v="31"/>
    <x v="0"/>
    <x v="15"/>
    <x v="82"/>
    <x v="82"/>
    <x v="0"/>
    <x v="0"/>
    <n v="2"/>
    <x v="1"/>
    <x v="1"/>
    <x v="2"/>
  </r>
  <r>
    <s v="CUST-1084"/>
    <n v="62"/>
    <x v="1"/>
    <x v="46"/>
    <x v="83"/>
    <x v="83"/>
    <x v="0"/>
    <x v="4"/>
    <n v="1"/>
    <x v="0"/>
    <x v="1"/>
    <x v="0"/>
  </r>
  <r>
    <s v="CUST-1085"/>
    <n v="34"/>
    <x v="0"/>
    <x v="47"/>
    <x v="84"/>
    <x v="84"/>
    <x v="0"/>
    <x v="3"/>
    <n v="2"/>
    <x v="1"/>
    <x v="1"/>
    <x v="2"/>
  </r>
  <r>
    <s v="CUST-1086"/>
    <n v="37"/>
    <x v="1"/>
    <x v="16"/>
    <x v="85"/>
    <x v="85"/>
    <x v="2"/>
    <x v="3"/>
    <n v="8"/>
    <x v="0"/>
    <x v="0"/>
    <x v="4"/>
  </r>
  <r>
    <s v="CUST-1087"/>
    <n v="23"/>
    <x v="0"/>
    <x v="48"/>
    <x v="86"/>
    <x v="86"/>
    <x v="0"/>
    <x v="0"/>
    <n v="3"/>
    <x v="0"/>
    <x v="0"/>
    <x v="1"/>
  </r>
  <r>
    <s v="CUST-1088"/>
    <n v="54"/>
    <x v="0"/>
    <x v="36"/>
    <x v="87"/>
    <x v="87"/>
    <x v="0"/>
    <x v="1"/>
    <n v="7"/>
    <x v="0"/>
    <x v="0"/>
    <x v="3"/>
  </r>
  <r>
    <s v="CUST-1089"/>
    <n v="35"/>
    <x v="0"/>
    <x v="32"/>
    <x v="88"/>
    <x v="88"/>
    <x v="1"/>
    <x v="4"/>
    <n v="5"/>
    <x v="2"/>
    <x v="0"/>
    <x v="4"/>
  </r>
  <r>
    <s v="CUST-1090"/>
    <n v="60"/>
    <x v="0"/>
    <x v="49"/>
    <x v="89"/>
    <x v="89"/>
    <x v="0"/>
    <x v="4"/>
    <n v="8"/>
    <x v="1"/>
    <x v="1"/>
    <x v="0"/>
  </r>
  <r>
    <s v="CUST-1091"/>
    <n v="38"/>
    <x v="1"/>
    <x v="23"/>
    <x v="90"/>
    <x v="90"/>
    <x v="1"/>
    <x v="0"/>
    <n v="10"/>
    <x v="0"/>
    <x v="0"/>
    <x v="4"/>
  </r>
  <r>
    <s v="CUST-1092"/>
    <n v="21"/>
    <x v="0"/>
    <x v="50"/>
    <x v="91"/>
    <x v="91"/>
    <x v="2"/>
    <x v="0"/>
    <n v="3"/>
    <x v="2"/>
    <x v="0"/>
    <x v="1"/>
  </r>
  <r>
    <s v="CUST-1093"/>
    <n v="36"/>
    <x v="1"/>
    <x v="48"/>
    <x v="92"/>
    <x v="92"/>
    <x v="1"/>
    <x v="2"/>
    <n v="3"/>
    <x v="0"/>
    <x v="1"/>
    <x v="4"/>
  </r>
  <r>
    <s v="CUST-1094"/>
    <n v="53"/>
    <x v="0"/>
    <x v="11"/>
    <x v="93"/>
    <x v="93"/>
    <x v="1"/>
    <x v="0"/>
    <n v="7"/>
    <x v="1"/>
    <x v="0"/>
    <x v="3"/>
  </r>
  <r>
    <s v="CUST-1095"/>
    <n v="27"/>
    <x v="1"/>
    <x v="4"/>
    <x v="94"/>
    <x v="94"/>
    <x v="0"/>
    <x v="4"/>
    <n v="7"/>
    <x v="1"/>
    <x v="1"/>
    <x v="2"/>
  </r>
  <r>
    <s v="CUST-1096"/>
    <n v="27"/>
    <x v="1"/>
    <x v="51"/>
    <x v="95"/>
    <x v="95"/>
    <x v="1"/>
    <x v="0"/>
    <n v="4"/>
    <x v="2"/>
    <x v="1"/>
    <x v="2"/>
  </r>
  <r>
    <s v="CUST-1097"/>
    <n v="50"/>
    <x v="1"/>
    <x v="7"/>
    <x v="96"/>
    <x v="96"/>
    <x v="1"/>
    <x v="2"/>
    <n v="10"/>
    <x v="2"/>
    <x v="0"/>
    <x v="3"/>
  </r>
  <r>
    <s v="CUST-1098"/>
    <n v="46"/>
    <x v="1"/>
    <x v="29"/>
    <x v="97"/>
    <x v="97"/>
    <x v="0"/>
    <x v="3"/>
    <n v="3"/>
    <x v="0"/>
    <x v="1"/>
    <x v="3"/>
  </r>
  <r>
    <s v="CUST-1099"/>
    <n v="42"/>
    <x v="0"/>
    <x v="49"/>
    <x v="98"/>
    <x v="98"/>
    <x v="2"/>
    <x v="4"/>
    <n v="6"/>
    <x v="0"/>
    <x v="0"/>
    <x v="4"/>
  </r>
  <r>
    <s v="CUST-1100"/>
    <n v="59"/>
    <x v="0"/>
    <x v="13"/>
    <x v="99"/>
    <x v="99"/>
    <x v="1"/>
    <x v="3"/>
    <n v="1"/>
    <x v="2"/>
    <x v="1"/>
    <x v="0"/>
  </r>
  <r>
    <s v="CUST-1101"/>
    <n v="47"/>
    <x v="0"/>
    <x v="41"/>
    <x v="100"/>
    <x v="100"/>
    <x v="1"/>
    <x v="0"/>
    <n v="7"/>
    <x v="2"/>
    <x v="0"/>
    <x v="3"/>
  </r>
  <r>
    <s v="CUST-1102"/>
    <n v="62"/>
    <x v="1"/>
    <x v="42"/>
    <x v="101"/>
    <x v="101"/>
    <x v="2"/>
    <x v="2"/>
    <n v="6"/>
    <x v="2"/>
    <x v="0"/>
    <x v="0"/>
  </r>
  <r>
    <s v="CUST-1103"/>
    <n v="49"/>
    <x v="0"/>
    <x v="25"/>
    <x v="102"/>
    <x v="102"/>
    <x v="1"/>
    <x v="1"/>
    <n v="1"/>
    <x v="2"/>
    <x v="0"/>
    <x v="3"/>
  </r>
  <r>
    <s v="CUST-1104"/>
    <n v="58"/>
    <x v="0"/>
    <x v="16"/>
    <x v="103"/>
    <x v="103"/>
    <x v="0"/>
    <x v="3"/>
    <n v="0"/>
    <x v="2"/>
    <x v="0"/>
    <x v="0"/>
  </r>
  <r>
    <s v="CUST-1105"/>
    <n v="45"/>
    <x v="0"/>
    <x v="44"/>
    <x v="104"/>
    <x v="104"/>
    <x v="2"/>
    <x v="1"/>
    <n v="2"/>
    <x v="1"/>
    <x v="0"/>
    <x v="3"/>
  </r>
  <r>
    <s v="CUST-1106"/>
    <n v="42"/>
    <x v="0"/>
    <x v="13"/>
    <x v="105"/>
    <x v="105"/>
    <x v="0"/>
    <x v="3"/>
    <n v="7"/>
    <x v="2"/>
    <x v="0"/>
    <x v="4"/>
  </r>
  <r>
    <s v="CUST-1107"/>
    <n v="47"/>
    <x v="1"/>
    <x v="34"/>
    <x v="106"/>
    <x v="106"/>
    <x v="1"/>
    <x v="2"/>
    <n v="4"/>
    <x v="0"/>
    <x v="0"/>
    <x v="3"/>
  </r>
  <r>
    <s v="CUST-1108"/>
    <n v="62"/>
    <x v="1"/>
    <x v="52"/>
    <x v="107"/>
    <x v="107"/>
    <x v="0"/>
    <x v="4"/>
    <n v="1"/>
    <x v="1"/>
    <x v="1"/>
    <x v="0"/>
  </r>
  <r>
    <s v="CUST-1109"/>
    <n v="40"/>
    <x v="1"/>
    <x v="53"/>
    <x v="108"/>
    <x v="108"/>
    <x v="2"/>
    <x v="3"/>
    <n v="0"/>
    <x v="0"/>
    <x v="0"/>
    <x v="4"/>
  </r>
  <r>
    <s v="CUST-1110"/>
    <n v="65"/>
    <x v="0"/>
    <x v="38"/>
    <x v="109"/>
    <x v="109"/>
    <x v="1"/>
    <x v="3"/>
    <n v="3"/>
    <x v="0"/>
    <x v="0"/>
    <x v="0"/>
  </r>
  <r>
    <s v="CUST-1111"/>
    <n v="32"/>
    <x v="0"/>
    <x v="25"/>
    <x v="110"/>
    <x v="110"/>
    <x v="2"/>
    <x v="1"/>
    <n v="10"/>
    <x v="1"/>
    <x v="0"/>
    <x v="2"/>
  </r>
  <r>
    <s v="CUST-1112"/>
    <n v="59"/>
    <x v="0"/>
    <x v="31"/>
    <x v="111"/>
    <x v="111"/>
    <x v="0"/>
    <x v="1"/>
    <n v="1"/>
    <x v="2"/>
    <x v="1"/>
    <x v="0"/>
  </r>
  <r>
    <s v="CUST-1113"/>
    <n v="44"/>
    <x v="0"/>
    <x v="51"/>
    <x v="112"/>
    <x v="112"/>
    <x v="1"/>
    <x v="2"/>
    <n v="8"/>
    <x v="2"/>
    <x v="0"/>
    <x v="4"/>
  </r>
  <r>
    <s v="CUST-1114"/>
    <n v="34"/>
    <x v="1"/>
    <x v="54"/>
    <x v="113"/>
    <x v="113"/>
    <x v="1"/>
    <x v="4"/>
    <n v="1"/>
    <x v="1"/>
    <x v="0"/>
    <x v="2"/>
  </r>
  <r>
    <s v="CUST-1115"/>
    <n v="32"/>
    <x v="1"/>
    <x v="49"/>
    <x v="114"/>
    <x v="114"/>
    <x v="2"/>
    <x v="0"/>
    <n v="4"/>
    <x v="0"/>
    <x v="1"/>
    <x v="2"/>
  </r>
  <r>
    <s v="CUST-1116"/>
    <n v="41"/>
    <x v="1"/>
    <x v="32"/>
    <x v="115"/>
    <x v="115"/>
    <x v="0"/>
    <x v="1"/>
    <n v="7"/>
    <x v="1"/>
    <x v="0"/>
    <x v="4"/>
  </r>
  <r>
    <s v="CUST-1117"/>
    <n v="53"/>
    <x v="1"/>
    <x v="38"/>
    <x v="116"/>
    <x v="116"/>
    <x v="2"/>
    <x v="4"/>
    <n v="4"/>
    <x v="0"/>
    <x v="0"/>
    <x v="3"/>
  </r>
  <r>
    <s v="CUST-1118"/>
    <n v="26"/>
    <x v="0"/>
    <x v="1"/>
    <x v="117"/>
    <x v="117"/>
    <x v="0"/>
    <x v="2"/>
    <n v="2"/>
    <x v="2"/>
    <x v="0"/>
    <x v="2"/>
  </r>
  <r>
    <s v="CUST-1119"/>
    <n v="60"/>
    <x v="1"/>
    <x v="32"/>
    <x v="118"/>
    <x v="118"/>
    <x v="0"/>
    <x v="0"/>
    <n v="7"/>
    <x v="0"/>
    <x v="1"/>
    <x v="0"/>
  </r>
  <r>
    <s v="CUST-1120"/>
    <n v="35"/>
    <x v="0"/>
    <x v="53"/>
    <x v="119"/>
    <x v="119"/>
    <x v="1"/>
    <x v="3"/>
    <n v="1"/>
    <x v="0"/>
    <x v="0"/>
    <x v="4"/>
  </r>
  <r>
    <s v="CUST-1121"/>
    <n v="59"/>
    <x v="1"/>
    <x v="19"/>
    <x v="120"/>
    <x v="120"/>
    <x v="0"/>
    <x v="4"/>
    <n v="1"/>
    <x v="0"/>
    <x v="1"/>
    <x v="0"/>
  </r>
  <r>
    <s v="CUST-1122"/>
    <n v="58"/>
    <x v="0"/>
    <x v="19"/>
    <x v="121"/>
    <x v="121"/>
    <x v="0"/>
    <x v="2"/>
    <n v="3"/>
    <x v="1"/>
    <x v="0"/>
    <x v="0"/>
  </r>
  <r>
    <s v="CUST-1123"/>
    <n v="53"/>
    <x v="0"/>
    <x v="32"/>
    <x v="122"/>
    <x v="122"/>
    <x v="0"/>
    <x v="1"/>
    <n v="9"/>
    <x v="1"/>
    <x v="1"/>
    <x v="3"/>
  </r>
  <r>
    <s v="CUST-1124"/>
    <n v="27"/>
    <x v="0"/>
    <x v="55"/>
    <x v="123"/>
    <x v="123"/>
    <x v="2"/>
    <x v="0"/>
    <n v="2"/>
    <x v="1"/>
    <x v="0"/>
    <x v="2"/>
  </r>
  <r>
    <s v="CUST-1125"/>
    <n v="33"/>
    <x v="1"/>
    <x v="0"/>
    <x v="124"/>
    <x v="124"/>
    <x v="2"/>
    <x v="2"/>
    <n v="1"/>
    <x v="0"/>
    <x v="1"/>
    <x v="2"/>
  </r>
  <r>
    <s v="CUST-1126"/>
    <n v="46"/>
    <x v="1"/>
    <x v="22"/>
    <x v="125"/>
    <x v="125"/>
    <x v="0"/>
    <x v="2"/>
    <n v="0"/>
    <x v="0"/>
    <x v="0"/>
    <x v="3"/>
  </r>
  <r>
    <s v="CUST-1127"/>
    <n v="60"/>
    <x v="1"/>
    <x v="52"/>
    <x v="126"/>
    <x v="126"/>
    <x v="1"/>
    <x v="4"/>
    <n v="6"/>
    <x v="0"/>
    <x v="1"/>
    <x v="0"/>
  </r>
  <r>
    <s v="CUST-1128"/>
    <n v="63"/>
    <x v="1"/>
    <x v="28"/>
    <x v="127"/>
    <x v="127"/>
    <x v="0"/>
    <x v="1"/>
    <n v="4"/>
    <x v="0"/>
    <x v="0"/>
    <x v="0"/>
  </r>
  <r>
    <s v="CUST-1129"/>
    <n v="53"/>
    <x v="1"/>
    <x v="21"/>
    <x v="128"/>
    <x v="128"/>
    <x v="0"/>
    <x v="2"/>
    <n v="6"/>
    <x v="1"/>
    <x v="0"/>
    <x v="3"/>
  </r>
  <r>
    <s v="CUST-1130"/>
    <n v="25"/>
    <x v="0"/>
    <x v="47"/>
    <x v="129"/>
    <x v="129"/>
    <x v="0"/>
    <x v="4"/>
    <n v="6"/>
    <x v="2"/>
    <x v="0"/>
    <x v="2"/>
  </r>
  <r>
    <s v="CUST-1131"/>
    <n v="38"/>
    <x v="1"/>
    <x v="23"/>
    <x v="130"/>
    <x v="130"/>
    <x v="0"/>
    <x v="4"/>
    <n v="1"/>
    <x v="1"/>
    <x v="0"/>
    <x v="4"/>
  </r>
  <r>
    <s v="CUST-1132"/>
    <n v="23"/>
    <x v="1"/>
    <x v="3"/>
    <x v="131"/>
    <x v="131"/>
    <x v="0"/>
    <x v="0"/>
    <n v="9"/>
    <x v="0"/>
    <x v="1"/>
    <x v="1"/>
  </r>
  <r>
    <s v="CUST-1133"/>
    <n v="60"/>
    <x v="0"/>
    <x v="56"/>
    <x v="132"/>
    <x v="132"/>
    <x v="2"/>
    <x v="0"/>
    <n v="4"/>
    <x v="0"/>
    <x v="0"/>
    <x v="0"/>
  </r>
  <r>
    <s v="CUST-1134"/>
    <n v="24"/>
    <x v="0"/>
    <x v="10"/>
    <x v="133"/>
    <x v="133"/>
    <x v="0"/>
    <x v="2"/>
    <n v="5"/>
    <x v="1"/>
    <x v="0"/>
    <x v="1"/>
  </r>
  <r>
    <s v="CUST-1135"/>
    <n v="54"/>
    <x v="0"/>
    <x v="54"/>
    <x v="134"/>
    <x v="134"/>
    <x v="2"/>
    <x v="2"/>
    <n v="9"/>
    <x v="0"/>
    <x v="0"/>
    <x v="3"/>
  </r>
  <r>
    <s v="CUST-1136"/>
    <n v="19"/>
    <x v="1"/>
    <x v="0"/>
    <x v="135"/>
    <x v="135"/>
    <x v="0"/>
    <x v="3"/>
    <n v="5"/>
    <x v="1"/>
    <x v="1"/>
    <x v="1"/>
  </r>
  <r>
    <s v="CUST-1137"/>
    <n v="27"/>
    <x v="1"/>
    <x v="28"/>
    <x v="136"/>
    <x v="136"/>
    <x v="0"/>
    <x v="2"/>
    <n v="3"/>
    <x v="2"/>
    <x v="1"/>
    <x v="2"/>
  </r>
  <r>
    <s v="CUST-1138"/>
    <n v="39"/>
    <x v="0"/>
    <x v="33"/>
    <x v="137"/>
    <x v="137"/>
    <x v="1"/>
    <x v="2"/>
    <n v="1"/>
    <x v="1"/>
    <x v="1"/>
    <x v="4"/>
  </r>
  <r>
    <s v="CUST-1139"/>
    <n v="57"/>
    <x v="0"/>
    <x v="34"/>
    <x v="138"/>
    <x v="138"/>
    <x v="0"/>
    <x v="2"/>
    <n v="7"/>
    <x v="2"/>
    <x v="1"/>
    <x v="0"/>
  </r>
  <r>
    <s v="CUST-1140"/>
    <n v="50"/>
    <x v="0"/>
    <x v="29"/>
    <x v="139"/>
    <x v="139"/>
    <x v="2"/>
    <x v="4"/>
    <n v="8"/>
    <x v="0"/>
    <x v="1"/>
    <x v="3"/>
  </r>
  <r>
    <s v="CUST-1141"/>
    <n v="32"/>
    <x v="1"/>
    <x v="57"/>
    <x v="140"/>
    <x v="140"/>
    <x v="1"/>
    <x v="1"/>
    <n v="4"/>
    <x v="2"/>
    <x v="0"/>
    <x v="2"/>
  </r>
  <r>
    <s v="CUST-1142"/>
    <n v="18"/>
    <x v="1"/>
    <x v="58"/>
    <x v="141"/>
    <x v="141"/>
    <x v="0"/>
    <x v="1"/>
    <n v="8"/>
    <x v="0"/>
    <x v="0"/>
    <x v="1"/>
  </r>
  <r>
    <s v="CUST-1143"/>
    <n v="40"/>
    <x v="0"/>
    <x v="8"/>
    <x v="142"/>
    <x v="142"/>
    <x v="0"/>
    <x v="0"/>
    <n v="5"/>
    <x v="0"/>
    <x v="1"/>
    <x v="4"/>
  </r>
  <r>
    <s v="CUST-1144"/>
    <n v="43"/>
    <x v="1"/>
    <x v="46"/>
    <x v="143"/>
    <x v="143"/>
    <x v="0"/>
    <x v="2"/>
    <n v="7"/>
    <x v="0"/>
    <x v="0"/>
    <x v="4"/>
  </r>
  <r>
    <s v="CUST-1145"/>
    <n v="23"/>
    <x v="1"/>
    <x v="49"/>
    <x v="144"/>
    <x v="144"/>
    <x v="0"/>
    <x v="0"/>
    <n v="6"/>
    <x v="2"/>
    <x v="0"/>
    <x v="1"/>
  </r>
  <r>
    <s v="CUST-1146"/>
    <n v="32"/>
    <x v="1"/>
    <x v="40"/>
    <x v="145"/>
    <x v="145"/>
    <x v="0"/>
    <x v="2"/>
    <n v="3"/>
    <x v="2"/>
    <x v="1"/>
    <x v="2"/>
  </r>
  <r>
    <s v="CUST-1147"/>
    <n v="59"/>
    <x v="0"/>
    <x v="44"/>
    <x v="146"/>
    <x v="146"/>
    <x v="0"/>
    <x v="1"/>
    <n v="10"/>
    <x v="1"/>
    <x v="1"/>
    <x v="0"/>
  </r>
  <r>
    <s v="CUST-1148"/>
    <n v="58"/>
    <x v="1"/>
    <x v="52"/>
    <x v="147"/>
    <x v="147"/>
    <x v="0"/>
    <x v="2"/>
    <n v="10"/>
    <x v="0"/>
    <x v="0"/>
    <x v="0"/>
  </r>
  <r>
    <s v="CUST-1149"/>
    <n v="38"/>
    <x v="1"/>
    <x v="10"/>
    <x v="148"/>
    <x v="148"/>
    <x v="2"/>
    <x v="3"/>
    <n v="9"/>
    <x v="1"/>
    <x v="1"/>
    <x v="4"/>
  </r>
  <r>
    <s v="CUST-1150"/>
    <n v="22"/>
    <x v="1"/>
    <x v="52"/>
    <x v="149"/>
    <x v="149"/>
    <x v="1"/>
    <x v="0"/>
    <n v="10"/>
    <x v="1"/>
    <x v="0"/>
    <x v="1"/>
  </r>
  <r>
    <s v="CUST-1151"/>
    <n v="50"/>
    <x v="1"/>
    <x v="52"/>
    <x v="150"/>
    <x v="150"/>
    <x v="2"/>
    <x v="0"/>
    <n v="7"/>
    <x v="0"/>
    <x v="0"/>
    <x v="3"/>
  </r>
  <r>
    <s v="CUST-1152"/>
    <n v="38"/>
    <x v="1"/>
    <x v="22"/>
    <x v="151"/>
    <x v="151"/>
    <x v="0"/>
    <x v="3"/>
    <n v="1"/>
    <x v="0"/>
    <x v="0"/>
    <x v="4"/>
  </r>
  <r>
    <s v="CUST-1153"/>
    <n v="20"/>
    <x v="0"/>
    <x v="35"/>
    <x v="152"/>
    <x v="152"/>
    <x v="0"/>
    <x v="1"/>
    <n v="5"/>
    <x v="2"/>
    <x v="0"/>
    <x v="1"/>
  </r>
  <r>
    <s v="CUST-1154"/>
    <n v="42"/>
    <x v="1"/>
    <x v="40"/>
    <x v="153"/>
    <x v="153"/>
    <x v="2"/>
    <x v="3"/>
    <n v="1"/>
    <x v="2"/>
    <x v="1"/>
    <x v="4"/>
  </r>
  <r>
    <s v="CUST-1155"/>
    <n v="61"/>
    <x v="1"/>
    <x v="46"/>
    <x v="154"/>
    <x v="154"/>
    <x v="1"/>
    <x v="2"/>
    <n v="2"/>
    <x v="2"/>
    <x v="1"/>
    <x v="0"/>
  </r>
  <r>
    <s v="CUST-1156"/>
    <n v="60"/>
    <x v="0"/>
    <x v="38"/>
    <x v="155"/>
    <x v="155"/>
    <x v="2"/>
    <x v="4"/>
    <n v="2"/>
    <x v="0"/>
    <x v="0"/>
    <x v="0"/>
  </r>
  <r>
    <s v="CUST-1157"/>
    <n v="23"/>
    <x v="1"/>
    <x v="11"/>
    <x v="156"/>
    <x v="156"/>
    <x v="1"/>
    <x v="2"/>
    <n v="1"/>
    <x v="0"/>
    <x v="0"/>
    <x v="1"/>
  </r>
  <r>
    <s v="CUST-1158"/>
    <n v="50"/>
    <x v="1"/>
    <x v="0"/>
    <x v="157"/>
    <x v="157"/>
    <x v="0"/>
    <x v="4"/>
    <n v="3"/>
    <x v="1"/>
    <x v="0"/>
    <x v="3"/>
  </r>
  <r>
    <s v="CUST-1159"/>
    <n v="27"/>
    <x v="0"/>
    <x v="46"/>
    <x v="158"/>
    <x v="158"/>
    <x v="2"/>
    <x v="2"/>
    <n v="0"/>
    <x v="0"/>
    <x v="0"/>
    <x v="2"/>
  </r>
  <r>
    <s v="CUST-1160"/>
    <n v="57"/>
    <x v="0"/>
    <x v="57"/>
    <x v="159"/>
    <x v="159"/>
    <x v="1"/>
    <x v="2"/>
    <n v="2"/>
    <x v="0"/>
    <x v="0"/>
    <x v="0"/>
  </r>
  <r>
    <s v="CUST-1161"/>
    <n v="44"/>
    <x v="1"/>
    <x v="34"/>
    <x v="160"/>
    <x v="160"/>
    <x v="2"/>
    <x v="4"/>
    <n v="3"/>
    <x v="0"/>
    <x v="1"/>
    <x v="4"/>
  </r>
  <r>
    <s v="CUST-1162"/>
    <n v="48"/>
    <x v="0"/>
    <x v="33"/>
    <x v="161"/>
    <x v="161"/>
    <x v="0"/>
    <x v="3"/>
    <n v="6"/>
    <x v="0"/>
    <x v="1"/>
    <x v="3"/>
  </r>
  <r>
    <s v="CUST-1163"/>
    <n v="28"/>
    <x v="0"/>
    <x v="54"/>
    <x v="162"/>
    <x v="162"/>
    <x v="0"/>
    <x v="4"/>
    <n v="5"/>
    <x v="0"/>
    <x v="0"/>
    <x v="2"/>
  </r>
  <r>
    <s v="CUST-1164"/>
    <n v="63"/>
    <x v="0"/>
    <x v="46"/>
    <x v="163"/>
    <x v="163"/>
    <x v="0"/>
    <x v="2"/>
    <n v="2"/>
    <x v="2"/>
    <x v="1"/>
    <x v="0"/>
  </r>
  <r>
    <s v="CUST-1165"/>
    <n v="32"/>
    <x v="1"/>
    <x v="48"/>
    <x v="164"/>
    <x v="164"/>
    <x v="0"/>
    <x v="2"/>
    <n v="5"/>
    <x v="1"/>
    <x v="1"/>
    <x v="2"/>
  </r>
  <r>
    <s v="CUST-1166"/>
    <n v="23"/>
    <x v="1"/>
    <x v="2"/>
    <x v="165"/>
    <x v="165"/>
    <x v="1"/>
    <x v="3"/>
    <n v="2"/>
    <x v="1"/>
    <x v="1"/>
    <x v="1"/>
  </r>
  <r>
    <s v="CUST-1167"/>
    <n v="48"/>
    <x v="0"/>
    <x v="36"/>
    <x v="166"/>
    <x v="166"/>
    <x v="0"/>
    <x v="0"/>
    <n v="0"/>
    <x v="2"/>
    <x v="1"/>
    <x v="3"/>
  </r>
  <r>
    <s v="CUST-1168"/>
    <n v="27"/>
    <x v="1"/>
    <x v="26"/>
    <x v="167"/>
    <x v="167"/>
    <x v="0"/>
    <x v="1"/>
    <n v="6"/>
    <x v="0"/>
    <x v="0"/>
    <x v="2"/>
  </r>
  <r>
    <s v="CUST-1169"/>
    <n v="47"/>
    <x v="0"/>
    <x v="26"/>
    <x v="168"/>
    <x v="168"/>
    <x v="0"/>
    <x v="2"/>
    <n v="9"/>
    <x v="1"/>
    <x v="1"/>
    <x v="3"/>
  </r>
  <r>
    <s v="CUST-1170"/>
    <n v="36"/>
    <x v="1"/>
    <x v="17"/>
    <x v="169"/>
    <x v="169"/>
    <x v="0"/>
    <x v="0"/>
    <n v="8"/>
    <x v="2"/>
    <x v="1"/>
    <x v="4"/>
  </r>
  <r>
    <s v="CUST-1171"/>
    <n v="51"/>
    <x v="0"/>
    <x v="21"/>
    <x v="170"/>
    <x v="170"/>
    <x v="0"/>
    <x v="3"/>
    <n v="4"/>
    <x v="0"/>
    <x v="1"/>
    <x v="3"/>
  </r>
  <r>
    <s v="CUST-1172"/>
    <n v="22"/>
    <x v="1"/>
    <x v="44"/>
    <x v="171"/>
    <x v="171"/>
    <x v="2"/>
    <x v="3"/>
    <n v="2"/>
    <x v="1"/>
    <x v="1"/>
    <x v="1"/>
  </r>
  <r>
    <s v="CUST-1173"/>
    <n v="39"/>
    <x v="0"/>
    <x v="12"/>
    <x v="172"/>
    <x v="172"/>
    <x v="2"/>
    <x v="1"/>
    <n v="2"/>
    <x v="1"/>
    <x v="0"/>
    <x v="4"/>
  </r>
  <r>
    <s v="CUST-1174"/>
    <n v="47"/>
    <x v="0"/>
    <x v="46"/>
    <x v="173"/>
    <x v="173"/>
    <x v="1"/>
    <x v="3"/>
    <n v="4"/>
    <x v="0"/>
    <x v="0"/>
    <x v="3"/>
  </r>
  <r>
    <s v="CUST-1175"/>
    <n v="52"/>
    <x v="1"/>
    <x v="15"/>
    <x v="174"/>
    <x v="174"/>
    <x v="0"/>
    <x v="0"/>
    <n v="10"/>
    <x v="2"/>
    <x v="1"/>
    <x v="3"/>
  </r>
  <r>
    <s v="CUST-1176"/>
    <n v="41"/>
    <x v="1"/>
    <x v="48"/>
    <x v="175"/>
    <x v="175"/>
    <x v="1"/>
    <x v="3"/>
    <n v="2"/>
    <x v="2"/>
    <x v="0"/>
    <x v="4"/>
  </r>
  <r>
    <s v="CUST-1177"/>
    <n v="41"/>
    <x v="1"/>
    <x v="54"/>
    <x v="176"/>
    <x v="176"/>
    <x v="0"/>
    <x v="1"/>
    <n v="8"/>
    <x v="2"/>
    <x v="1"/>
    <x v="4"/>
  </r>
  <r>
    <s v="CUST-1178"/>
    <n v="23"/>
    <x v="1"/>
    <x v="5"/>
    <x v="177"/>
    <x v="177"/>
    <x v="2"/>
    <x v="1"/>
    <n v="7"/>
    <x v="2"/>
    <x v="0"/>
    <x v="1"/>
  </r>
  <r>
    <s v="CUST-1179"/>
    <n v="64"/>
    <x v="1"/>
    <x v="25"/>
    <x v="178"/>
    <x v="178"/>
    <x v="1"/>
    <x v="0"/>
    <n v="1"/>
    <x v="0"/>
    <x v="0"/>
    <x v="0"/>
  </r>
  <r>
    <s v="CUST-1180"/>
    <n v="41"/>
    <x v="0"/>
    <x v="0"/>
    <x v="179"/>
    <x v="179"/>
    <x v="2"/>
    <x v="0"/>
    <n v="2"/>
    <x v="1"/>
    <x v="1"/>
    <x v="4"/>
  </r>
  <r>
    <s v="CUST-1181"/>
    <n v="59"/>
    <x v="1"/>
    <x v="33"/>
    <x v="180"/>
    <x v="180"/>
    <x v="2"/>
    <x v="4"/>
    <n v="5"/>
    <x v="2"/>
    <x v="0"/>
    <x v="0"/>
  </r>
  <r>
    <s v="CUST-1182"/>
    <n v="22"/>
    <x v="0"/>
    <x v="50"/>
    <x v="181"/>
    <x v="181"/>
    <x v="0"/>
    <x v="0"/>
    <n v="0"/>
    <x v="0"/>
    <x v="1"/>
    <x v="1"/>
  </r>
  <r>
    <s v="CUST-1183"/>
    <n v="51"/>
    <x v="1"/>
    <x v="38"/>
    <x v="182"/>
    <x v="182"/>
    <x v="0"/>
    <x v="4"/>
    <n v="3"/>
    <x v="0"/>
    <x v="1"/>
    <x v="3"/>
  </r>
  <r>
    <s v="CUST-1184"/>
    <n v="49"/>
    <x v="0"/>
    <x v="26"/>
    <x v="183"/>
    <x v="183"/>
    <x v="0"/>
    <x v="4"/>
    <n v="1"/>
    <x v="0"/>
    <x v="0"/>
    <x v="3"/>
  </r>
  <r>
    <s v="CUST-1185"/>
    <n v="38"/>
    <x v="1"/>
    <x v="35"/>
    <x v="184"/>
    <x v="184"/>
    <x v="1"/>
    <x v="1"/>
    <n v="10"/>
    <x v="1"/>
    <x v="0"/>
    <x v="4"/>
  </r>
  <r>
    <s v="CUST-1186"/>
    <n v="50"/>
    <x v="0"/>
    <x v="26"/>
    <x v="185"/>
    <x v="185"/>
    <x v="0"/>
    <x v="4"/>
    <n v="0"/>
    <x v="2"/>
    <x v="0"/>
    <x v="3"/>
  </r>
  <r>
    <s v="CUST-1187"/>
    <n v="41"/>
    <x v="1"/>
    <x v="54"/>
    <x v="186"/>
    <x v="186"/>
    <x v="1"/>
    <x v="0"/>
    <n v="4"/>
    <x v="2"/>
    <x v="0"/>
    <x v="4"/>
  </r>
  <r>
    <s v="CUST-1188"/>
    <n v="64"/>
    <x v="1"/>
    <x v="50"/>
    <x v="187"/>
    <x v="187"/>
    <x v="2"/>
    <x v="1"/>
    <n v="5"/>
    <x v="0"/>
    <x v="1"/>
    <x v="0"/>
  </r>
  <r>
    <s v="CUST-1189"/>
    <n v="47"/>
    <x v="1"/>
    <x v="24"/>
    <x v="188"/>
    <x v="188"/>
    <x v="2"/>
    <x v="1"/>
    <n v="2"/>
    <x v="2"/>
    <x v="0"/>
    <x v="3"/>
  </r>
  <r>
    <s v="CUST-1190"/>
    <n v="21"/>
    <x v="0"/>
    <x v="50"/>
    <x v="189"/>
    <x v="189"/>
    <x v="0"/>
    <x v="1"/>
    <n v="5"/>
    <x v="0"/>
    <x v="0"/>
    <x v="1"/>
  </r>
  <r>
    <s v="CUST-1191"/>
    <n v="23"/>
    <x v="1"/>
    <x v="51"/>
    <x v="190"/>
    <x v="190"/>
    <x v="0"/>
    <x v="3"/>
    <n v="9"/>
    <x v="0"/>
    <x v="1"/>
    <x v="1"/>
  </r>
  <r>
    <s v="CUST-1192"/>
    <n v="59"/>
    <x v="0"/>
    <x v="32"/>
    <x v="191"/>
    <x v="191"/>
    <x v="2"/>
    <x v="2"/>
    <n v="5"/>
    <x v="0"/>
    <x v="1"/>
    <x v="0"/>
  </r>
  <r>
    <s v="CUST-1193"/>
    <n v="19"/>
    <x v="0"/>
    <x v="1"/>
    <x v="192"/>
    <x v="192"/>
    <x v="0"/>
    <x v="1"/>
    <n v="9"/>
    <x v="2"/>
    <x v="1"/>
    <x v="1"/>
  </r>
  <r>
    <s v="CUST-1194"/>
    <n v="19"/>
    <x v="1"/>
    <x v="48"/>
    <x v="193"/>
    <x v="193"/>
    <x v="1"/>
    <x v="4"/>
    <n v="3"/>
    <x v="0"/>
    <x v="0"/>
    <x v="1"/>
  </r>
  <r>
    <s v="CUST-1195"/>
    <n v="47"/>
    <x v="0"/>
    <x v="53"/>
    <x v="194"/>
    <x v="194"/>
    <x v="0"/>
    <x v="1"/>
    <n v="5"/>
    <x v="0"/>
    <x v="1"/>
    <x v="3"/>
  </r>
  <r>
    <s v="CUST-1196"/>
    <n v="63"/>
    <x v="1"/>
    <x v="41"/>
    <x v="195"/>
    <x v="195"/>
    <x v="0"/>
    <x v="3"/>
    <n v="8"/>
    <x v="0"/>
    <x v="1"/>
    <x v="0"/>
  </r>
  <r>
    <s v="CUST-1197"/>
    <n v="33"/>
    <x v="1"/>
    <x v="26"/>
    <x v="196"/>
    <x v="196"/>
    <x v="0"/>
    <x v="3"/>
    <n v="6"/>
    <x v="0"/>
    <x v="1"/>
    <x v="2"/>
  </r>
  <r>
    <s v="CUST-1198"/>
    <n v="28"/>
    <x v="1"/>
    <x v="4"/>
    <x v="197"/>
    <x v="197"/>
    <x v="2"/>
    <x v="4"/>
    <n v="8"/>
    <x v="2"/>
    <x v="0"/>
    <x v="2"/>
  </r>
  <r>
    <s v="CUST-1199"/>
    <n v="37"/>
    <x v="1"/>
    <x v="0"/>
    <x v="198"/>
    <x v="198"/>
    <x v="0"/>
    <x v="1"/>
    <n v="3"/>
    <x v="0"/>
    <x v="1"/>
    <x v="4"/>
  </r>
  <r>
    <s v="CUST-1200"/>
    <n v="21"/>
    <x v="1"/>
    <x v="13"/>
    <x v="199"/>
    <x v="199"/>
    <x v="2"/>
    <x v="3"/>
    <n v="8"/>
    <x v="1"/>
    <x v="0"/>
    <x v="1"/>
  </r>
  <r>
    <s v="CUST-1201"/>
    <n v="45"/>
    <x v="0"/>
    <x v="48"/>
    <x v="200"/>
    <x v="200"/>
    <x v="0"/>
    <x v="0"/>
    <n v="6"/>
    <x v="1"/>
    <x v="0"/>
    <x v="3"/>
  </r>
  <r>
    <s v="CUST-1202"/>
    <n v="30"/>
    <x v="1"/>
    <x v="11"/>
    <x v="201"/>
    <x v="201"/>
    <x v="0"/>
    <x v="2"/>
    <n v="4"/>
    <x v="0"/>
    <x v="0"/>
    <x v="2"/>
  </r>
  <r>
    <s v="CUST-1203"/>
    <n v="25"/>
    <x v="0"/>
    <x v="3"/>
    <x v="202"/>
    <x v="202"/>
    <x v="0"/>
    <x v="3"/>
    <n v="2"/>
    <x v="1"/>
    <x v="0"/>
    <x v="2"/>
  </r>
  <r>
    <s v="CUST-1204"/>
    <n v="43"/>
    <x v="0"/>
    <x v="1"/>
    <x v="203"/>
    <x v="203"/>
    <x v="1"/>
    <x v="2"/>
    <n v="7"/>
    <x v="1"/>
    <x v="0"/>
    <x v="4"/>
  </r>
  <r>
    <s v="CUST-1205"/>
    <n v="50"/>
    <x v="0"/>
    <x v="23"/>
    <x v="204"/>
    <x v="204"/>
    <x v="0"/>
    <x v="2"/>
    <n v="4"/>
    <x v="0"/>
    <x v="1"/>
    <x v="3"/>
  </r>
  <r>
    <s v="CUST-1206"/>
    <n v="50"/>
    <x v="1"/>
    <x v="35"/>
    <x v="205"/>
    <x v="205"/>
    <x v="0"/>
    <x v="3"/>
    <n v="10"/>
    <x v="1"/>
    <x v="0"/>
    <x v="3"/>
  </r>
  <r>
    <s v="CUST-1207"/>
    <n v="55"/>
    <x v="1"/>
    <x v="30"/>
    <x v="206"/>
    <x v="206"/>
    <x v="2"/>
    <x v="2"/>
    <n v="7"/>
    <x v="2"/>
    <x v="0"/>
    <x v="0"/>
  </r>
  <r>
    <s v="CUST-1208"/>
    <n v="55"/>
    <x v="0"/>
    <x v="41"/>
    <x v="207"/>
    <x v="207"/>
    <x v="0"/>
    <x v="2"/>
    <n v="6"/>
    <x v="1"/>
    <x v="0"/>
    <x v="0"/>
  </r>
  <r>
    <s v="CUST-1209"/>
    <n v="33"/>
    <x v="0"/>
    <x v="39"/>
    <x v="208"/>
    <x v="208"/>
    <x v="0"/>
    <x v="3"/>
    <n v="6"/>
    <x v="1"/>
    <x v="1"/>
    <x v="2"/>
  </r>
  <r>
    <s v="CUST-1210"/>
    <n v="31"/>
    <x v="1"/>
    <x v="22"/>
    <x v="209"/>
    <x v="209"/>
    <x v="1"/>
    <x v="0"/>
    <n v="2"/>
    <x v="0"/>
    <x v="0"/>
    <x v="2"/>
  </r>
  <r>
    <s v="CUST-1211"/>
    <n v="38"/>
    <x v="1"/>
    <x v="50"/>
    <x v="210"/>
    <x v="210"/>
    <x v="0"/>
    <x v="2"/>
    <n v="5"/>
    <x v="0"/>
    <x v="1"/>
    <x v="4"/>
  </r>
  <r>
    <s v="CUST-1212"/>
    <n v="64"/>
    <x v="1"/>
    <x v="25"/>
    <x v="211"/>
    <x v="211"/>
    <x v="0"/>
    <x v="3"/>
    <n v="3"/>
    <x v="2"/>
    <x v="0"/>
    <x v="0"/>
  </r>
  <r>
    <s v="CUST-1213"/>
    <n v="63"/>
    <x v="0"/>
    <x v="53"/>
    <x v="212"/>
    <x v="212"/>
    <x v="0"/>
    <x v="3"/>
    <n v="4"/>
    <x v="1"/>
    <x v="0"/>
    <x v="0"/>
  </r>
  <r>
    <s v="CUST-1214"/>
    <n v="52"/>
    <x v="1"/>
    <x v="9"/>
    <x v="213"/>
    <x v="213"/>
    <x v="1"/>
    <x v="1"/>
    <n v="4"/>
    <x v="1"/>
    <x v="1"/>
    <x v="3"/>
  </r>
  <r>
    <s v="CUST-1215"/>
    <n v="63"/>
    <x v="0"/>
    <x v="29"/>
    <x v="214"/>
    <x v="214"/>
    <x v="2"/>
    <x v="1"/>
    <n v="3"/>
    <x v="0"/>
    <x v="1"/>
    <x v="0"/>
  </r>
  <r>
    <s v="CUST-1216"/>
    <n v="53"/>
    <x v="1"/>
    <x v="24"/>
    <x v="215"/>
    <x v="215"/>
    <x v="0"/>
    <x v="0"/>
    <n v="10"/>
    <x v="0"/>
    <x v="1"/>
    <x v="3"/>
  </r>
  <r>
    <s v="CUST-1217"/>
    <n v="32"/>
    <x v="0"/>
    <x v="3"/>
    <x v="216"/>
    <x v="216"/>
    <x v="0"/>
    <x v="1"/>
    <n v="0"/>
    <x v="0"/>
    <x v="0"/>
    <x v="2"/>
  </r>
  <r>
    <s v="CUST-1218"/>
    <n v="28"/>
    <x v="1"/>
    <x v="42"/>
    <x v="217"/>
    <x v="217"/>
    <x v="0"/>
    <x v="1"/>
    <n v="4"/>
    <x v="2"/>
    <x v="1"/>
    <x v="2"/>
  </r>
  <r>
    <s v="CUST-1219"/>
    <n v="21"/>
    <x v="0"/>
    <x v="42"/>
    <x v="218"/>
    <x v="218"/>
    <x v="2"/>
    <x v="0"/>
    <n v="2"/>
    <x v="2"/>
    <x v="0"/>
    <x v="1"/>
  </r>
  <r>
    <s v="CUST-1220"/>
    <n v="29"/>
    <x v="0"/>
    <x v="12"/>
    <x v="219"/>
    <x v="219"/>
    <x v="1"/>
    <x v="3"/>
    <n v="0"/>
    <x v="1"/>
    <x v="0"/>
    <x v="2"/>
  </r>
  <r>
    <s v="CUST-1221"/>
    <n v="56"/>
    <x v="0"/>
    <x v="4"/>
    <x v="220"/>
    <x v="220"/>
    <x v="1"/>
    <x v="2"/>
    <n v="8"/>
    <x v="2"/>
    <x v="0"/>
    <x v="0"/>
  </r>
  <r>
    <s v="CUST-1222"/>
    <n v="26"/>
    <x v="1"/>
    <x v="37"/>
    <x v="221"/>
    <x v="221"/>
    <x v="0"/>
    <x v="4"/>
    <n v="10"/>
    <x v="2"/>
    <x v="0"/>
    <x v="2"/>
  </r>
  <r>
    <s v="CUST-1223"/>
    <n v="18"/>
    <x v="1"/>
    <x v="30"/>
    <x v="222"/>
    <x v="222"/>
    <x v="0"/>
    <x v="2"/>
    <n v="10"/>
    <x v="2"/>
    <x v="0"/>
    <x v="1"/>
  </r>
  <r>
    <s v="CUST-1224"/>
    <n v="50"/>
    <x v="1"/>
    <x v="14"/>
    <x v="223"/>
    <x v="223"/>
    <x v="1"/>
    <x v="4"/>
    <n v="5"/>
    <x v="1"/>
    <x v="1"/>
    <x v="3"/>
  </r>
  <r>
    <s v="CUST-1225"/>
    <n v="42"/>
    <x v="0"/>
    <x v="16"/>
    <x v="224"/>
    <x v="224"/>
    <x v="0"/>
    <x v="2"/>
    <n v="0"/>
    <x v="2"/>
    <x v="0"/>
    <x v="4"/>
  </r>
  <r>
    <s v="CUST-1226"/>
    <n v="62"/>
    <x v="0"/>
    <x v="19"/>
    <x v="225"/>
    <x v="225"/>
    <x v="0"/>
    <x v="2"/>
    <n v="4"/>
    <x v="0"/>
    <x v="1"/>
    <x v="0"/>
  </r>
  <r>
    <s v="CUST-1227"/>
    <n v="36"/>
    <x v="1"/>
    <x v="25"/>
    <x v="226"/>
    <x v="226"/>
    <x v="0"/>
    <x v="4"/>
    <n v="9"/>
    <x v="2"/>
    <x v="1"/>
    <x v="4"/>
  </r>
  <r>
    <s v="CUST-1228"/>
    <n v="53"/>
    <x v="1"/>
    <x v="36"/>
    <x v="227"/>
    <x v="227"/>
    <x v="0"/>
    <x v="1"/>
    <n v="10"/>
    <x v="0"/>
    <x v="0"/>
    <x v="3"/>
  </r>
  <r>
    <s v="CUST-1229"/>
    <n v="23"/>
    <x v="1"/>
    <x v="50"/>
    <x v="228"/>
    <x v="228"/>
    <x v="2"/>
    <x v="0"/>
    <n v="8"/>
    <x v="0"/>
    <x v="1"/>
    <x v="1"/>
  </r>
  <r>
    <s v="CUST-1230"/>
    <n v="52"/>
    <x v="0"/>
    <x v="6"/>
    <x v="229"/>
    <x v="229"/>
    <x v="0"/>
    <x v="1"/>
    <n v="9"/>
    <x v="2"/>
    <x v="1"/>
    <x v="3"/>
  </r>
  <r>
    <s v="CUST-1231"/>
    <n v="50"/>
    <x v="1"/>
    <x v="54"/>
    <x v="230"/>
    <x v="230"/>
    <x v="0"/>
    <x v="2"/>
    <n v="0"/>
    <x v="0"/>
    <x v="0"/>
    <x v="3"/>
  </r>
  <r>
    <s v="CUST-1232"/>
    <n v="37"/>
    <x v="0"/>
    <x v="8"/>
    <x v="231"/>
    <x v="231"/>
    <x v="0"/>
    <x v="0"/>
    <n v="0"/>
    <x v="2"/>
    <x v="0"/>
    <x v="4"/>
  </r>
  <r>
    <s v="CUST-1233"/>
    <n v="22"/>
    <x v="0"/>
    <x v="4"/>
    <x v="232"/>
    <x v="232"/>
    <x v="0"/>
    <x v="3"/>
    <n v="6"/>
    <x v="1"/>
    <x v="0"/>
    <x v="1"/>
  </r>
  <r>
    <s v="CUST-1234"/>
    <n v="59"/>
    <x v="1"/>
    <x v="33"/>
    <x v="233"/>
    <x v="233"/>
    <x v="1"/>
    <x v="4"/>
    <n v="6"/>
    <x v="1"/>
    <x v="0"/>
    <x v="0"/>
  </r>
  <r>
    <s v="CUST-1235"/>
    <n v="60"/>
    <x v="0"/>
    <x v="42"/>
    <x v="234"/>
    <x v="234"/>
    <x v="1"/>
    <x v="4"/>
    <n v="8"/>
    <x v="1"/>
    <x v="0"/>
    <x v="0"/>
  </r>
  <r>
    <s v="CUST-1236"/>
    <n v="32"/>
    <x v="0"/>
    <x v="36"/>
    <x v="235"/>
    <x v="235"/>
    <x v="2"/>
    <x v="2"/>
    <n v="6"/>
    <x v="0"/>
    <x v="0"/>
    <x v="2"/>
  </r>
  <r>
    <s v="CUST-1237"/>
    <n v="32"/>
    <x v="0"/>
    <x v="52"/>
    <x v="236"/>
    <x v="236"/>
    <x v="1"/>
    <x v="0"/>
    <n v="0"/>
    <x v="0"/>
    <x v="0"/>
    <x v="2"/>
  </r>
  <r>
    <s v="CUST-1238"/>
    <n v="19"/>
    <x v="0"/>
    <x v="18"/>
    <x v="237"/>
    <x v="237"/>
    <x v="0"/>
    <x v="0"/>
    <n v="3"/>
    <x v="0"/>
    <x v="1"/>
    <x v="1"/>
  </r>
  <r>
    <s v="CUST-1239"/>
    <n v="46"/>
    <x v="0"/>
    <x v="55"/>
    <x v="238"/>
    <x v="238"/>
    <x v="0"/>
    <x v="2"/>
    <n v="4"/>
    <x v="1"/>
    <x v="0"/>
    <x v="3"/>
  </r>
  <r>
    <s v="CUST-1240"/>
    <n v="64"/>
    <x v="1"/>
    <x v="39"/>
    <x v="239"/>
    <x v="239"/>
    <x v="0"/>
    <x v="3"/>
    <n v="2"/>
    <x v="0"/>
    <x v="0"/>
    <x v="0"/>
  </r>
  <r>
    <s v="CUST-1241"/>
    <n v="44"/>
    <x v="1"/>
    <x v="37"/>
    <x v="240"/>
    <x v="240"/>
    <x v="1"/>
    <x v="1"/>
    <n v="10"/>
    <x v="0"/>
    <x v="0"/>
    <x v="4"/>
  </r>
  <r>
    <s v="CUST-1242"/>
    <n v="49"/>
    <x v="0"/>
    <x v="29"/>
    <x v="241"/>
    <x v="241"/>
    <x v="2"/>
    <x v="3"/>
    <n v="6"/>
    <x v="2"/>
    <x v="1"/>
    <x v="3"/>
  </r>
  <r>
    <s v="CUST-1243"/>
    <n v="42"/>
    <x v="0"/>
    <x v="36"/>
    <x v="242"/>
    <x v="242"/>
    <x v="0"/>
    <x v="1"/>
    <n v="7"/>
    <x v="1"/>
    <x v="0"/>
    <x v="4"/>
  </r>
  <r>
    <s v="CUST-1244"/>
    <n v="44"/>
    <x v="0"/>
    <x v="21"/>
    <x v="243"/>
    <x v="243"/>
    <x v="2"/>
    <x v="4"/>
    <n v="5"/>
    <x v="1"/>
    <x v="0"/>
    <x v="4"/>
  </r>
  <r>
    <s v="CUST-1245"/>
    <n v="30"/>
    <x v="0"/>
    <x v="37"/>
    <x v="244"/>
    <x v="244"/>
    <x v="0"/>
    <x v="0"/>
    <n v="3"/>
    <x v="0"/>
    <x v="0"/>
    <x v="2"/>
  </r>
  <r>
    <s v="CUST-1246"/>
    <n v="53"/>
    <x v="0"/>
    <x v="43"/>
    <x v="245"/>
    <x v="245"/>
    <x v="0"/>
    <x v="0"/>
    <n v="3"/>
    <x v="1"/>
    <x v="0"/>
    <x v="3"/>
  </r>
  <r>
    <s v="CUST-1247"/>
    <n v="25"/>
    <x v="1"/>
    <x v="38"/>
    <x v="246"/>
    <x v="246"/>
    <x v="0"/>
    <x v="1"/>
    <n v="8"/>
    <x v="2"/>
    <x v="0"/>
    <x v="2"/>
  </r>
  <r>
    <s v="CUST-1248"/>
    <n v="42"/>
    <x v="1"/>
    <x v="55"/>
    <x v="247"/>
    <x v="247"/>
    <x v="0"/>
    <x v="4"/>
    <n v="7"/>
    <x v="1"/>
    <x v="0"/>
    <x v="4"/>
  </r>
  <r>
    <s v="CUST-1249"/>
    <n v="64"/>
    <x v="1"/>
    <x v="36"/>
    <x v="248"/>
    <x v="248"/>
    <x v="0"/>
    <x v="4"/>
    <n v="0"/>
    <x v="0"/>
    <x v="0"/>
    <x v="0"/>
  </r>
  <r>
    <s v="CUST-1250"/>
    <n v="65"/>
    <x v="0"/>
    <x v="0"/>
    <x v="249"/>
    <x v="249"/>
    <x v="2"/>
    <x v="4"/>
    <n v="4"/>
    <x v="1"/>
    <x v="1"/>
    <x v="0"/>
  </r>
  <r>
    <s v="CUST-1251"/>
    <n v="32"/>
    <x v="1"/>
    <x v="39"/>
    <x v="250"/>
    <x v="250"/>
    <x v="2"/>
    <x v="3"/>
    <n v="4"/>
    <x v="2"/>
    <x v="0"/>
    <x v="2"/>
  </r>
  <r>
    <s v="CUST-1252"/>
    <n v="59"/>
    <x v="1"/>
    <x v="52"/>
    <x v="251"/>
    <x v="251"/>
    <x v="0"/>
    <x v="2"/>
    <n v="7"/>
    <x v="1"/>
    <x v="0"/>
    <x v="0"/>
  </r>
  <r>
    <s v="CUST-1253"/>
    <n v="52"/>
    <x v="0"/>
    <x v="50"/>
    <x v="252"/>
    <x v="252"/>
    <x v="1"/>
    <x v="0"/>
    <n v="0"/>
    <x v="2"/>
    <x v="0"/>
    <x v="3"/>
  </r>
  <r>
    <s v="CUST-1254"/>
    <n v="58"/>
    <x v="0"/>
    <x v="28"/>
    <x v="253"/>
    <x v="253"/>
    <x v="0"/>
    <x v="3"/>
    <n v="0"/>
    <x v="0"/>
    <x v="0"/>
    <x v="0"/>
  </r>
  <r>
    <s v="CUST-1255"/>
    <n v="57"/>
    <x v="1"/>
    <x v="5"/>
    <x v="254"/>
    <x v="254"/>
    <x v="2"/>
    <x v="0"/>
    <n v="0"/>
    <x v="0"/>
    <x v="0"/>
    <x v="0"/>
  </r>
  <r>
    <s v="CUST-1256"/>
    <n v="52"/>
    <x v="1"/>
    <x v="0"/>
    <x v="255"/>
    <x v="255"/>
    <x v="0"/>
    <x v="1"/>
    <n v="1"/>
    <x v="1"/>
    <x v="0"/>
    <x v="3"/>
  </r>
  <r>
    <s v="CUST-1257"/>
    <n v="33"/>
    <x v="0"/>
    <x v="25"/>
    <x v="256"/>
    <x v="256"/>
    <x v="0"/>
    <x v="4"/>
    <n v="1"/>
    <x v="2"/>
    <x v="0"/>
    <x v="2"/>
  </r>
  <r>
    <s v="CUST-1258"/>
    <n v="47"/>
    <x v="0"/>
    <x v="53"/>
    <x v="257"/>
    <x v="257"/>
    <x v="1"/>
    <x v="0"/>
    <n v="1"/>
    <x v="2"/>
    <x v="0"/>
    <x v="3"/>
  </r>
  <r>
    <s v="CUST-1259"/>
    <n v="53"/>
    <x v="1"/>
    <x v="19"/>
    <x v="258"/>
    <x v="258"/>
    <x v="0"/>
    <x v="4"/>
    <n v="10"/>
    <x v="2"/>
    <x v="1"/>
    <x v="3"/>
  </r>
  <r>
    <s v="CUST-1260"/>
    <n v="24"/>
    <x v="0"/>
    <x v="2"/>
    <x v="259"/>
    <x v="259"/>
    <x v="1"/>
    <x v="4"/>
    <n v="4"/>
    <x v="1"/>
    <x v="0"/>
    <x v="1"/>
  </r>
  <r>
    <s v="CUST-1261"/>
    <n v="61"/>
    <x v="1"/>
    <x v="9"/>
    <x v="260"/>
    <x v="260"/>
    <x v="0"/>
    <x v="3"/>
    <n v="0"/>
    <x v="1"/>
    <x v="0"/>
    <x v="0"/>
  </r>
  <r>
    <s v="CUST-1262"/>
    <n v="63"/>
    <x v="1"/>
    <x v="4"/>
    <x v="261"/>
    <x v="261"/>
    <x v="0"/>
    <x v="4"/>
    <n v="10"/>
    <x v="0"/>
    <x v="1"/>
    <x v="0"/>
  </r>
  <r>
    <s v="CUST-1263"/>
    <n v="65"/>
    <x v="0"/>
    <x v="30"/>
    <x v="262"/>
    <x v="262"/>
    <x v="0"/>
    <x v="3"/>
    <n v="0"/>
    <x v="1"/>
    <x v="1"/>
    <x v="0"/>
  </r>
  <r>
    <s v="CUST-1264"/>
    <n v="22"/>
    <x v="1"/>
    <x v="57"/>
    <x v="263"/>
    <x v="263"/>
    <x v="0"/>
    <x v="3"/>
    <n v="0"/>
    <x v="0"/>
    <x v="1"/>
    <x v="1"/>
  </r>
  <r>
    <s v="CUST-1265"/>
    <n v="46"/>
    <x v="1"/>
    <x v="2"/>
    <x v="264"/>
    <x v="264"/>
    <x v="0"/>
    <x v="2"/>
    <n v="10"/>
    <x v="2"/>
    <x v="1"/>
    <x v="3"/>
  </r>
  <r>
    <s v="CUST-1266"/>
    <n v="57"/>
    <x v="1"/>
    <x v="54"/>
    <x v="265"/>
    <x v="265"/>
    <x v="0"/>
    <x v="4"/>
    <n v="10"/>
    <x v="1"/>
    <x v="0"/>
    <x v="0"/>
  </r>
  <r>
    <s v="CUST-1267"/>
    <n v="38"/>
    <x v="1"/>
    <x v="3"/>
    <x v="266"/>
    <x v="266"/>
    <x v="0"/>
    <x v="3"/>
    <n v="1"/>
    <x v="1"/>
    <x v="1"/>
    <x v="4"/>
  </r>
  <r>
    <s v="CUST-1268"/>
    <n v="45"/>
    <x v="1"/>
    <x v="11"/>
    <x v="267"/>
    <x v="267"/>
    <x v="0"/>
    <x v="3"/>
    <n v="8"/>
    <x v="1"/>
    <x v="0"/>
    <x v="3"/>
  </r>
  <r>
    <s v="CUST-1269"/>
    <n v="38"/>
    <x v="1"/>
    <x v="17"/>
    <x v="268"/>
    <x v="268"/>
    <x v="0"/>
    <x v="2"/>
    <n v="3"/>
    <x v="0"/>
    <x v="0"/>
    <x v="4"/>
  </r>
  <r>
    <s v="CUST-1270"/>
    <n v="61"/>
    <x v="1"/>
    <x v="6"/>
    <x v="269"/>
    <x v="269"/>
    <x v="0"/>
    <x v="0"/>
    <n v="2"/>
    <x v="2"/>
    <x v="1"/>
    <x v="0"/>
  </r>
  <r>
    <s v="CUST-1271"/>
    <n v="37"/>
    <x v="1"/>
    <x v="30"/>
    <x v="270"/>
    <x v="270"/>
    <x v="0"/>
    <x v="4"/>
    <n v="9"/>
    <x v="0"/>
    <x v="1"/>
    <x v="4"/>
  </r>
  <r>
    <s v="CUST-1272"/>
    <n v="24"/>
    <x v="0"/>
    <x v="31"/>
    <x v="271"/>
    <x v="271"/>
    <x v="1"/>
    <x v="4"/>
    <n v="5"/>
    <x v="2"/>
    <x v="0"/>
    <x v="1"/>
  </r>
  <r>
    <s v="CUST-1273"/>
    <n v="59"/>
    <x v="0"/>
    <x v="31"/>
    <x v="272"/>
    <x v="272"/>
    <x v="0"/>
    <x v="3"/>
    <n v="2"/>
    <x v="2"/>
    <x v="0"/>
    <x v="0"/>
  </r>
  <r>
    <s v="CUST-1274"/>
    <n v="36"/>
    <x v="1"/>
    <x v="39"/>
    <x v="273"/>
    <x v="273"/>
    <x v="0"/>
    <x v="4"/>
    <n v="5"/>
    <x v="1"/>
    <x v="0"/>
    <x v="4"/>
  </r>
  <r>
    <s v="CUST-1275"/>
    <n v="30"/>
    <x v="0"/>
    <x v="34"/>
    <x v="274"/>
    <x v="274"/>
    <x v="2"/>
    <x v="1"/>
    <n v="7"/>
    <x v="2"/>
    <x v="0"/>
    <x v="2"/>
  </r>
  <r>
    <s v="CUST-1276"/>
    <n v="22"/>
    <x v="1"/>
    <x v="34"/>
    <x v="275"/>
    <x v="275"/>
    <x v="0"/>
    <x v="1"/>
    <n v="6"/>
    <x v="2"/>
    <x v="1"/>
    <x v="1"/>
  </r>
  <r>
    <s v="CUST-1277"/>
    <n v="56"/>
    <x v="1"/>
    <x v="32"/>
    <x v="276"/>
    <x v="276"/>
    <x v="1"/>
    <x v="4"/>
    <n v="8"/>
    <x v="1"/>
    <x v="0"/>
    <x v="0"/>
  </r>
  <r>
    <s v="CUST-1278"/>
    <n v="41"/>
    <x v="0"/>
    <x v="3"/>
    <x v="277"/>
    <x v="277"/>
    <x v="0"/>
    <x v="2"/>
    <n v="0"/>
    <x v="0"/>
    <x v="0"/>
    <x v="4"/>
  </r>
  <r>
    <s v="CUST-1279"/>
    <n v="61"/>
    <x v="1"/>
    <x v="36"/>
    <x v="278"/>
    <x v="278"/>
    <x v="0"/>
    <x v="0"/>
    <n v="4"/>
    <x v="1"/>
    <x v="0"/>
    <x v="0"/>
  </r>
  <r>
    <s v="CUST-1280"/>
    <n v="51"/>
    <x v="0"/>
    <x v="16"/>
    <x v="279"/>
    <x v="279"/>
    <x v="2"/>
    <x v="2"/>
    <n v="2"/>
    <x v="2"/>
    <x v="0"/>
    <x v="3"/>
  </r>
  <r>
    <s v="CUST-1281"/>
    <n v="48"/>
    <x v="0"/>
    <x v="46"/>
    <x v="280"/>
    <x v="280"/>
    <x v="0"/>
    <x v="1"/>
    <n v="5"/>
    <x v="2"/>
    <x v="1"/>
    <x v="3"/>
  </r>
  <r>
    <s v="CUST-1282"/>
    <n v="31"/>
    <x v="1"/>
    <x v="29"/>
    <x v="281"/>
    <x v="281"/>
    <x v="2"/>
    <x v="3"/>
    <n v="1"/>
    <x v="2"/>
    <x v="1"/>
    <x v="2"/>
  </r>
  <r>
    <s v="CUST-1283"/>
    <n v="63"/>
    <x v="0"/>
    <x v="0"/>
    <x v="282"/>
    <x v="282"/>
    <x v="2"/>
    <x v="1"/>
    <n v="3"/>
    <x v="0"/>
    <x v="1"/>
    <x v="0"/>
  </r>
  <r>
    <s v="CUST-1284"/>
    <n v="28"/>
    <x v="1"/>
    <x v="11"/>
    <x v="283"/>
    <x v="283"/>
    <x v="2"/>
    <x v="1"/>
    <n v="2"/>
    <x v="0"/>
    <x v="0"/>
    <x v="2"/>
  </r>
  <r>
    <s v="CUST-1285"/>
    <n v="43"/>
    <x v="0"/>
    <x v="58"/>
    <x v="284"/>
    <x v="284"/>
    <x v="2"/>
    <x v="4"/>
    <n v="0"/>
    <x v="0"/>
    <x v="0"/>
    <x v="4"/>
  </r>
  <r>
    <s v="CUST-1286"/>
    <n v="35"/>
    <x v="0"/>
    <x v="39"/>
    <x v="285"/>
    <x v="285"/>
    <x v="0"/>
    <x v="3"/>
    <n v="3"/>
    <x v="2"/>
    <x v="1"/>
    <x v="4"/>
  </r>
  <r>
    <s v="CUST-1287"/>
    <n v="60"/>
    <x v="1"/>
    <x v="50"/>
    <x v="286"/>
    <x v="286"/>
    <x v="0"/>
    <x v="4"/>
    <n v="9"/>
    <x v="1"/>
    <x v="1"/>
    <x v="0"/>
  </r>
  <r>
    <s v="CUST-1288"/>
    <n v="47"/>
    <x v="0"/>
    <x v="7"/>
    <x v="287"/>
    <x v="287"/>
    <x v="1"/>
    <x v="2"/>
    <n v="1"/>
    <x v="0"/>
    <x v="1"/>
    <x v="3"/>
  </r>
  <r>
    <s v="CUST-1289"/>
    <n v="25"/>
    <x v="0"/>
    <x v="31"/>
    <x v="288"/>
    <x v="288"/>
    <x v="0"/>
    <x v="4"/>
    <n v="6"/>
    <x v="0"/>
    <x v="1"/>
    <x v="2"/>
  </r>
  <r>
    <s v="CUST-1290"/>
    <n v="42"/>
    <x v="1"/>
    <x v="20"/>
    <x v="289"/>
    <x v="289"/>
    <x v="1"/>
    <x v="1"/>
    <n v="8"/>
    <x v="1"/>
    <x v="1"/>
    <x v="4"/>
  </r>
  <r>
    <s v="CUST-1291"/>
    <n v="26"/>
    <x v="0"/>
    <x v="23"/>
    <x v="290"/>
    <x v="290"/>
    <x v="1"/>
    <x v="0"/>
    <n v="7"/>
    <x v="1"/>
    <x v="1"/>
    <x v="2"/>
  </r>
  <r>
    <s v="CUST-1292"/>
    <n v="42"/>
    <x v="1"/>
    <x v="56"/>
    <x v="291"/>
    <x v="291"/>
    <x v="1"/>
    <x v="4"/>
    <n v="2"/>
    <x v="1"/>
    <x v="0"/>
    <x v="4"/>
  </r>
  <r>
    <s v="CUST-1293"/>
    <n v="32"/>
    <x v="1"/>
    <x v="1"/>
    <x v="292"/>
    <x v="292"/>
    <x v="0"/>
    <x v="4"/>
    <n v="9"/>
    <x v="0"/>
    <x v="0"/>
    <x v="2"/>
  </r>
  <r>
    <s v="CUST-1294"/>
    <n v="49"/>
    <x v="0"/>
    <x v="39"/>
    <x v="293"/>
    <x v="293"/>
    <x v="1"/>
    <x v="3"/>
    <n v="8"/>
    <x v="1"/>
    <x v="0"/>
    <x v="3"/>
  </r>
  <r>
    <s v="CUST-1295"/>
    <n v="46"/>
    <x v="0"/>
    <x v="47"/>
    <x v="294"/>
    <x v="294"/>
    <x v="2"/>
    <x v="3"/>
    <n v="0"/>
    <x v="2"/>
    <x v="0"/>
    <x v="3"/>
  </r>
  <r>
    <s v="CUST-1296"/>
    <n v="23"/>
    <x v="1"/>
    <x v="45"/>
    <x v="295"/>
    <x v="295"/>
    <x v="0"/>
    <x v="2"/>
    <n v="5"/>
    <x v="0"/>
    <x v="0"/>
    <x v="1"/>
  </r>
  <r>
    <s v="CUST-1297"/>
    <n v="45"/>
    <x v="0"/>
    <x v="25"/>
    <x v="296"/>
    <x v="296"/>
    <x v="0"/>
    <x v="0"/>
    <n v="9"/>
    <x v="2"/>
    <x v="0"/>
    <x v="3"/>
  </r>
  <r>
    <s v="CUST-1298"/>
    <n v="56"/>
    <x v="0"/>
    <x v="23"/>
    <x v="297"/>
    <x v="297"/>
    <x v="2"/>
    <x v="2"/>
    <n v="10"/>
    <x v="1"/>
    <x v="1"/>
    <x v="0"/>
  </r>
  <r>
    <s v="CUST-1299"/>
    <n v="44"/>
    <x v="0"/>
    <x v="37"/>
    <x v="298"/>
    <x v="298"/>
    <x v="1"/>
    <x v="1"/>
    <n v="2"/>
    <x v="0"/>
    <x v="0"/>
    <x v="4"/>
  </r>
  <r>
    <s v="CUST-1300"/>
    <n v="33"/>
    <x v="1"/>
    <x v="13"/>
    <x v="299"/>
    <x v="299"/>
    <x v="2"/>
    <x v="4"/>
    <n v="7"/>
    <x v="1"/>
    <x v="0"/>
    <x v="2"/>
  </r>
  <r>
    <s v="CUST-1301"/>
    <n v="23"/>
    <x v="1"/>
    <x v="22"/>
    <x v="300"/>
    <x v="300"/>
    <x v="1"/>
    <x v="4"/>
    <n v="7"/>
    <x v="2"/>
    <x v="0"/>
    <x v="1"/>
  </r>
  <r>
    <s v="CUST-1302"/>
    <n v="64"/>
    <x v="0"/>
    <x v="41"/>
    <x v="301"/>
    <x v="301"/>
    <x v="2"/>
    <x v="0"/>
    <n v="8"/>
    <x v="2"/>
    <x v="1"/>
    <x v="0"/>
  </r>
  <r>
    <s v="CUST-1303"/>
    <n v="45"/>
    <x v="0"/>
    <x v="13"/>
    <x v="302"/>
    <x v="302"/>
    <x v="0"/>
    <x v="2"/>
    <n v="2"/>
    <x v="0"/>
    <x v="0"/>
    <x v="3"/>
  </r>
  <r>
    <s v="CUST-1304"/>
    <n v="39"/>
    <x v="0"/>
    <x v="1"/>
    <x v="303"/>
    <x v="303"/>
    <x v="0"/>
    <x v="0"/>
    <n v="2"/>
    <x v="2"/>
    <x v="0"/>
    <x v="4"/>
  </r>
  <r>
    <s v="CUST-1305"/>
    <n v="45"/>
    <x v="0"/>
    <x v="53"/>
    <x v="304"/>
    <x v="304"/>
    <x v="0"/>
    <x v="3"/>
    <n v="1"/>
    <x v="0"/>
    <x v="0"/>
    <x v="3"/>
  </r>
  <r>
    <s v="CUST-1306"/>
    <n v="23"/>
    <x v="1"/>
    <x v="5"/>
    <x v="305"/>
    <x v="305"/>
    <x v="0"/>
    <x v="3"/>
    <n v="3"/>
    <x v="2"/>
    <x v="0"/>
    <x v="1"/>
  </r>
  <r>
    <s v="CUST-1307"/>
    <n v="63"/>
    <x v="0"/>
    <x v="17"/>
    <x v="306"/>
    <x v="306"/>
    <x v="2"/>
    <x v="2"/>
    <n v="10"/>
    <x v="2"/>
    <x v="1"/>
    <x v="0"/>
  </r>
  <r>
    <s v="CUST-1308"/>
    <n v="62"/>
    <x v="1"/>
    <x v="7"/>
    <x v="307"/>
    <x v="307"/>
    <x v="2"/>
    <x v="4"/>
    <n v="1"/>
    <x v="1"/>
    <x v="0"/>
    <x v="0"/>
  </r>
  <r>
    <s v="CUST-1309"/>
    <n v="64"/>
    <x v="0"/>
    <x v="3"/>
    <x v="308"/>
    <x v="308"/>
    <x v="0"/>
    <x v="1"/>
    <n v="10"/>
    <x v="0"/>
    <x v="1"/>
    <x v="0"/>
  </r>
  <r>
    <s v="CUST-1310"/>
    <n v="51"/>
    <x v="0"/>
    <x v="25"/>
    <x v="309"/>
    <x v="309"/>
    <x v="2"/>
    <x v="1"/>
    <n v="6"/>
    <x v="0"/>
    <x v="0"/>
    <x v="3"/>
  </r>
  <r>
    <s v="CUST-1311"/>
    <n v="31"/>
    <x v="0"/>
    <x v="9"/>
    <x v="310"/>
    <x v="310"/>
    <x v="2"/>
    <x v="4"/>
    <n v="5"/>
    <x v="2"/>
    <x v="0"/>
    <x v="2"/>
  </r>
  <r>
    <s v="CUST-1312"/>
    <n v="26"/>
    <x v="0"/>
    <x v="37"/>
    <x v="311"/>
    <x v="311"/>
    <x v="2"/>
    <x v="2"/>
    <n v="4"/>
    <x v="0"/>
    <x v="1"/>
    <x v="2"/>
  </r>
  <r>
    <s v="CUST-1313"/>
    <n v="60"/>
    <x v="1"/>
    <x v="18"/>
    <x v="312"/>
    <x v="312"/>
    <x v="2"/>
    <x v="3"/>
    <n v="10"/>
    <x v="1"/>
    <x v="0"/>
    <x v="0"/>
  </r>
  <r>
    <s v="CUST-1314"/>
    <n v="33"/>
    <x v="1"/>
    <x v="21"/>
    <x v="313"/>
    <x v="313"/>
    <x v="2"/>
    <x v="2"/>
    <n v="0"/>
    <x v="2"/>
    <x v="0"/>
    <x v="2"/>
  </r>
  <r>
    <s v="CUST-1315"/>
    <n v="26"/>
    <x v="1"/>
    <x v="45"/>
    <x v="314"/>
    <x v="314"/>
    <x v="0"/>
    <x v="1"/>
    <n v="7"/>
    <x v="1"/>
    <x v="1"/>
    <x v="2"/>
  </r>
  <r>
    <s v="CUST-1316"/>
    <n v="22"/>
    <x v="0"/>
    <x v="15"/>
    <x v="315"/>
    <x v="315"/>
    <x v="1"/>
    <x v="4"/>
    <n v="8"/>
    <x v="2"/>
    <x v="0"/>
    <x v="1"/>
  </r>
  <r>
    <s v="CUST-1317"/>
    <n v="50"/>
    <x v="1"/>
    <x v="47"/>
    <x v="316"/>
    <x v="316"/>
    <x v="0"/>
    <x v="2"/>
    <n v="2"/>
    <x v="2"/>
    <x v="1"/>
    <x v="3"/>
  </r>
  <r>
    <s v="CUST-1318"/>
    <n v="23"/>
    <x v="0"/>
    <x v="54"/>
    <x v="317"/>
    <x v="317"/>
    <x v="2"/>
    <x v="0"/>
    <n v="4"/>
    <x v="0"/>
    <x v="0"/>
    <x v="1"/>
  </r>
  <r>
    <s v="CUST-1319"/>
    <n v="33"/>
    <x v="0"/>
    <x v="44"/>
    <x v="318"/>
    <x v="318"/>
    <x v="0"/>
    <x v="2"/>
    <n v="0"/>
    <x v="2"/>
    <x v="0"/>
    <x v="2"/>
  </r>
  <r>
    <s v="CUST-1320"/>
    <n v="60"/>
    <x v="0"/>
    <x v="26"/>
    <x v="319"/>
    <x v="319"/>
    <x v="0"/>
    <x v="4"/>
    <n v="5"/>
    <x v="0"/>
    <x v="1"/>
    <x v="0"/>
  </r>
  <r>
    <s v="CUST-1321"/>
    <n v="64"/>
    <x v="1"/>
    <x v="6"/>
    <x v="320"/>
    <x v="320"/>
    <x v="1"/>
    <x v="0"/>
    <n v="0"/>
    <x v="2"/>
    <x v="0"/>
    <x v="0"/>
  </r>
  <r>
    <s v="CUST-1322"/>
    <n v="35"/>
    <x v="0"/>
    <x v="15"/>
    <x v="321"/>
    <x v="321"/>
    <x v="0"/>
    <x v="4"/>
    <n v="8"/>
    <x v="2"/>
    <x v="1"/>
    <x v="4"/>
  </r>
  <r>
    <s v="CUST-1323"/>
    <n v="54"/>
    <x v="0"/>
    <x v="33"/>
    <x v="322"/>
    <x v="322"/>
    <x v="1"/>
    <x v="0"/>
    <n v="3"/>
    <x v="0"/>
    <x v="0"/>
    <x v="3"/>
  </r>
  <r>
    <s v="CUST-1324"/>
    <n v="20"/>
    <x v="0"/>
    <x v="44"/>
    <x v="323"/>
    <x v="323"/>
    <x v="1"/>
    <x v="1"/>
    <n v="0"/>
    <x v="0"/>
    <x v="0"/>
    <x v="1"/>
  </r>
  <r>
    <s v="CUST-1325"/>
    <n v="63"/>
    <x v="1"/>
    <x v="2"/>
    <x v="324"/>
    <x v="324"/>
    <x v="2"/>
    <x v="3"/>
    <n v="1"/>
    <x v="0"/>
    <x v="0"/>
    <x v="0"/>
  </r>
  <r>
    <s v="CUST-1326"/>
    <n v="50"/>
    <x v="0"/>
    <x v="20"/>
    <x v="325"/>
    <x v="325"/>
    <x v="0"/>
    <x v="4"/>
    <n v="1"/>
    <x v="2"/>
    <x v="0"/>
    <x v="3"/>
  </r>
  <r>
    <s v="CUST-1327"/>
    <n v="37"/>
    <x v="1"/>
    <x v="14"/>
    <x v="326"/>
    <x v="326"/>
    <x v="0"/>
    <x v="2"/>
    <n v="4"/>
    <x v="0"/>
    <x v="0"/>
    <x v="4"/>
  </r>
  <r>
    <s v="CUST-1328"/>
    <n v="47"/>
    <x v="1"/>
    <x v="32"/>
    <x v="327"/>
    <x v="327"/>
    <x v="2"/>
    <x v="2"/>
    <n v="3"/>
    <x v="1"/>
    <x v="1"/>
    <x v="3"/>
  </r>
  <r>
    <s v="CUST-1329"/>
    <n v="44"/>
    <x v="0"/>
    <x v="2"/>
    <x v="328"/>
    <x v="328"/>
    <x v="2"/>
    <x v="0"/>
    <n v="5"/>
    <x v="1"/>
    <x v="0"/>
    <x v="4"/>
  </r>
  <r>
    <s v="CUST-1330"/>
    <n v="42"/>
    <x v="1"/>
    <x v="3"/>
    <x v="329"/>
    <x v="329"/>
    <x v="0"/>
    <x v="0"/>
    <n v="2"/>
    <x v="0"/>
    <x v="1"/>
    <x v="4"/>
  </r>
  <r>
    <s v="CUST-1331"/>
    <n v="20"/>
    <x v="0"/>
    <x v="9"/>
    <x v="330"/>
    <x v="330"/>
    <x v="1"/>
    <x v="4"/>
    <n v="1"/>
    <x v="0"/>
    <x v="1"/>
    <x v="1"/>
  </r>
  <r>
    <s v="CUST-1332"/>
    <n v="26"/>
    <x v="1"/>
    <x v="28"/>
    <x v="331"/>
    <x v="331"/>
    <x v="2"/>
    <x v="1"/>
    <n v="3"/>
    <x v="2"/>
    <x v="1"/>
    <x v="2"/>
  </r>
  <r>
    <s v="CUST-1333"/>
    <n v="38"/>
    <x v="1"/>
    <x v="53"/>
    <x v="332"/>
    <x v="332"/>
    <x v="0"/>
    <x v="1"/>
    <n v="1"/>
    <x v="1"/>
    <x v="1"/>
    <x v="4"/>
  </r>
  <r>
    <s v="CUST-1334"/>
    <n v="55"/>
    <x v="0"/>
    <x v="10"/>
    <x v="333"/>
    <x v="333"/>
    <x v="0"/>
    <x v="0"/>
    <n v="8"/>
    <x v="2"/>
    <x v="0"/>
    <x v="0"/>
  </r>
  <r>
    <s v="CUST-1335"/>
    <n v="31"/>
    <x v="1"/>
    <x v="31"/>
    <x v="334"/>
    <x v="334"/>
    <x v="0"/>
    <x v="3"/>
    <n v="9"/>
    <x v="1"/>
    <x v="1"/>
    <x v="2"/>
  </r>
  <r>
    <s v="CUST-1336"/>
    <n v="38"/>
    <x v="0"/>
    <x v="14"/>
    <x v="335"/>
    <x v="335"/>
    <x v="0"/>
    <x v="0"/>
    <n v="10"/>
    <x v="2"/>
    <x v="1"/>
    <x v="4"/>
  </r>
  <r>
    <s v="CUST-1337"/>
    <n v="29"/>
    <x v="0"/>
    <x v="8"/>
    <x v="336"/>
    <x v="336"/>
    <x v="2"/>
    <x v="0"/>
    <n v="7"/>
    <x v="1"/>
    <x v="0"/>
    <x v="2"/>
  </r>
  <r>
    <s v="CUST-1338"/>
    <n v="26"/>
    <x v="0"/>
    <x v="17"/>
    <x v="337"/>
    <x v="337"/>
    <x v="0"/>
    <x v="1"/>
    <n v="6"/>
    <x v="2"/>
    <x v="0"/>
    <x v="2"/>
  </r>
  <r>
    <s v="CUST-1339"/>
    <n v="59"/>
    <x v="0"/>
    <x v="32"/>
    <x v="338"/>
    <x v="338"/>
    <x v="0"/>
    <x v="0"/>
    <n v="3"/>
    <x v="0"/>
    <x v="0"/>
    <x v="0"/>
  </r>
  <r>
    <s v="CUST-1340"/>
    <n v="26"/>
    <x v="0"/>
    <x v="9"/>
    <x v="339"/>
    <x v="339"/>
    <x v="0"/>
    <x v="4"/>
    <n v="0"/>
    <x v="1"/>
    <x v="0"/>
    <x v="2"/>
  </r>
  <r>
    <s v="CUST-1341"/>
    <n v="45"/>
    <x v="1"/>
    <x v="13"/>
    <x v="340"/>
    <x v="340"/>
    <x v="0"/>
    <x v="1"/>
    <n v="2"/>
    <x v="2"/>
    <x v="1"/>
    <x v="3"/>
  </r>
  <r>
    <s v="CUST-1342"/>
    <n v="27"/>
    <x v="0"/>
    <x v="25"/>
    <x v="341"/>
    <x v="341"/>
    <x v="0"/>
    <x v="4"/>
    <n v="8"/>
    <x v="2"/>
    <x v="1"/>
    <x v="2"/>
  </r>
  <r>
    <s v="CUST-1343"/>
    <n v="35"/>
    <x v="1"/>
    <x v="24"/>
    <x v="342"/>
    <x v="342"/>
    <x v="2"/>
    <x v="1"/>
    <n v="10"/>
    <x v="0"/>
    <x v="0"/>
    <x v="4"/>
  </r>
  <r>
    <s v="CUST-1344"/>
    <n v="42"/>
    <x v="1"/>
    <x v="43"/>
    <x v="343"/>
    <x v="343"/>
    <x v="1"/>
    <x v="2"/>
    <n v="5"/>
    <x v="2"/>
    <x v="0"/>
    <x v="4"/>
  </r>
  <r>
    <s v="CUST-1345"/>
    <n v="19"/>
    <x v="1"/>
    <x v="57"/>
    <x v="344"/>
    <x v="344"/>
    <x v="2"/>
    <x v="0"/>
    <n v="7"/>
    <x v="0"/>
    <x v="0"/>
    <x v="1"/>
  </r>
  <r>
    <s v="CUST-1346"/>
    <n v="55"/>
    <x v="0"/>
    <x v="6"/>
    <x v="345"/>
    <x v="345"/>
    <x v="0"/>
    <x v="0"/>
    <n v="3"/>
    <x v="0"/>
    <x v="0"/>
    <x v="0"/>
  </r>
  <r>
    <s v="CUST-1347"/>
    <n v="42"/>
    <x v="1"/>
    <x v="4"/>
    <x v="346"/>
    <x v="346"/>
    <x v="0"/>
    <x v="2"/>
    <n v="5"/>
    <x v="0"/>
    <x v="0"/>
    <x v="4"/>
  </r>
  <r>
    <s v="CUST-1348"/>
    <n v="55"/>
    <x v="0"/>
    <x v="35"/>
    <x v="347"/>
    <x v="347"/>
    <x v="2"/>
    <x v="2"/>
    <n v="3"/>
    <x v="2"/>
    <x v="0"/>
    <x v="0"/>
  </r>
  <r>
    <s v="CUST-1349"/>
    <n v="29"/>
    <x v="1"/>
    <x v="1"/>
    <x v="348"/>
    <x v="348"/>
    <x v="0"/>
    <x v="2"/>
    <n v="7"/>
    <x v="1"/>
    <x v="1"/>
    <x v="2"/>
  </r>
  <r>
    <s v="CUST-1350"/>
    <n v="57"/>
    <x v="0"/>
    <x v="54"/>
    <x v="349"/>
    <x v="349"/>
    <x v="1"/>
    <x v="3"/>
    <n v="0"/>
    <x v="1"/>
    <x v="1"/>
    <x v="0"/>
  </r>
  <r>
    <s v="CUST-1351"/>
    <n v="63"/>
    <x v="0"/>
    <x v="40"/>
    <x v="350"/>
    <x v="350"/>
    <x v="0"/>
    <x v="0"/>
    <n v="5"/>
    <x v="0"/>
    <x v="0"/>
    <x v="0"/>
  </r>
  <r>
    <s v="CUST-1352"/>
    <n v="43"/>
    <x v="0"/>
    <x v="27"/>
    <x v="351"/>
    <x v="351"/>
    <x v="0"/>
    <x v="4"/>
    <n v="10"/>
    <x v="2"/>
    <x v="0"/>
    <x v="4"/>
  </r>
  <r>
    <s v="CUST-1353"/>
    <n v="29"/>
    <x v="1"/>
    <x v="2"/>
    <x v="352"/>
    <x v="352"/>
    <x v="0"/>
    <x v="3"/>
    <n v="2"/>
    <x v="1"/>
    <x v="0"/>
    <x v="2"/>
  </r>
  <r>
    <s v="CUST-1354"/>
    <n v="62"/>
    <x v="1"/>
    <x v="49"/>
    <x v="353"/>
    <x v="353"/>
    <x v="0"/>
    <x v="2"/>
    <n v="5"/>
    <x v="0"/>
    <x v="1"/>
    <x v="0"/>
  </r>
  <r>
    <s v="CUST-1355"/>
    <n v="54"/>
    <x v="0"/>
    <x v="4"/>
    <x v="354"/>
    <x v="354"/>
    <x v="0"/>
    <x v="3"/>
    <n v="5"/>
    <x v="1"/>
    <x v="0"/>
    <x v="3"/>
  </r>
  <r>
    <s v="CUST-1356"/>
    <n v="23"/>
    <x v="1"/>
    <x v="16"/>
    <x v="355"/>
    <x v="355"/>
    <x v="2"/>
    <x v="3"/>
    <n v="4"/>
    <x v="1"/>
    <x v="0"/>
    <x v="1"/>
  </r>
  <r>
    <s v="CUST-1357"/>
    <n v="21"/>
    <x v="1"/>
    <x v="16"/>
    <x v="356"/>
    <x v="356"/>
    <x v="1"/>
    <x v="4"/>
    <n v="6"/>
    <x v="2"/>
    <x v="0"/>
    <x v="1"/>
  </r>
  <r>
    <s v="CUST-1358"/>
    <n v="24"/>
    <x v="1"/>
    <x v="30"/>
    <x v="357"/>
    <x v="357"/>
    <x v="2"/>
    <x v="1"/>
    <n v="7"/>
    <x v="1"/>
    <x v="0"/>
    <x v="1"/>
  </r>
  <r>
    <s v="CUST-1359"/>
    <n v="20"/>
    <x v="1"/>
    <x v="0"/>
    <x v="358"/>
    <x v="358"/>
    <x v="0"/>
    <x v="1"/>
    <n v="6"/>
    <x v="1"/>
    <x v="0"/>
    <x v="1"/>
  </r>
  <r>
    <s v="CUST-1360"/>
    <n v="53"/>
    <x v="0"/>
    <x v="27"/>
    <x v="359"/>
    <x v="359"/>
    <x v="0"/>
    <x v="0"/>
    <n v="6"/>
    <x v="0"/>
    <x v="1"/>
    <x v="3"/>
  </r>
  <r>
    <s v="CUST-1361"/>
    <n v="45"/>
    <x v="0"/>
    <x v="19"/>
    <x v="360"/>
    <x v="360"/>
    <x v="0"/>
    <x v="2"/>
    <n v="8"/>
    <x v="2"/>
    <x v="0"/>
    <x v="3"/>
  </r>
  <r>
    <s v="CUST-1362"/>
    <n v="37"/>
    <x v="0"/>
    <x v="3"/>
    <x v="361"/>
    <x v="361"/>
    <x v="1"/>
    <x v="1"/>
    <n v="0"/>
    <x v="2"/>
    <x v="1"/>
    <x v="4"/>
  </r>
  <r>
    <s v="CUST-1363"/>
    <n v="23"/>
    <x v="1"/>
    <x v="7"/>
    <x v="362"/>
    <x v="362"/>
    <x v="0"/>
    <x v="0"/>
    <n v="3"/>
    <x v="1"/>
    <x v="0"/>
    <x v="1"/>
  </r>
  <r>
    <s v="CUST-1364"/>
    <n v="23"/>
    <x v="1"/>
    <x v="49"/>
    <x v="363"/>
    <x v="363"/>
    <x v="0"/>
    <x v="3"/>
    <n v="1"/>
    <x v="0"/>
    <x v="0"/>
    <x v="1"/>
  </r>
  <r>
    <s v="CUST-1365"/>
    <n v="29"/>
    <x v="1"/>
    <x v="48"/>
    <x v="364"/>
    <x v="364"/>
    <x v="0"/>
    <x v="4"/>
    <n v="7"/>
    <x v="2"/>
    <x v="1"/>
    <x v="2"/>
  </r>
  <r>
    <s v="CUST-1366"/>
    <n v="35"/>
    <x v="0"/>
    <x v="10"/>
    <x v="365"/>
    <x v="365"/>
    <x v="0"/>
    <x v="3"/>
    <n v="8"/>
    <x v="2"/>
    <x v="0"/>
    <x v="4"/>
  </r>
  <r>
    <s v="CUST-1367"/>
    <n v="55"/>
    <x v="0"/>
    <x v="11"/>
    <x v="366"/>
    <x v="366"/>
    <x v="0"/>
    <x v="2"/>
    <n v="10"/>
    <x v="2"/>
    <x v="0"/>
    <x v="0"/>
  </r>
  <r>
    <s v="CUST-1368"/>
    <n v="33"/>
    <x v="1"/>
    <x v="31"/>
    <x v="367"/>
    <x v="367"/>
    <x v="2"/>
    <x v="2"/>
    <n v="9"/>
    <x v="0"/>
    <x v="0"/>
    <x v="2"/>
  </r>
  <r>
    <s v="CUST-1369"/>
    <n v="61"/>
    <x v="0"/>
    <x v="26"/>
    <x v="368"/>
    <x v="368"/>
    <x v="1"/>
    <x v="1"/>
    <n v="3"/>
    <x v="1"/>
    <x v="1"/>
    <x v="0"/>
  </r>
  <r>
    <s v="CUST-1370"/>
    <n v="45"/>
    <x v="0"/>
    <x v="34"/>
    <x v="369"/>
    <x v="369"/>
    <x v="2"/>
    <x v="2"/>
    <n v="4"/>
    <x v="2"/>
    <x v="0"/>
    <x v="3"/>
  </r>
  <r>
    <s v="CUST-1371"/>
    <n v="22"/>
    <x v="0"/>
    <x v="21"/>
    <x v="370"/>
    <x v="370"/>
    <x v="1"/>
    <x v="2"/>
    <n v="7"/>
    <x v="1"/>
    <x v="0"/>
    <x v="1"/>
  </r>
  <r>
    <s v="CUST-1372"/>
    <n v="57"/>
    <x v="1"/>
    <x v="26"/>
    <x v="371"/>
    <x v="371"/>
    <x v="2"/>
    <x v="0"/>
    <n v="1"/>
    <x v="0"/>
    <x v="0"/>
    <x v="0"/>
  </r>
  <r>
    <s v="CUST-1373"/>
    <n v="36"/>
    <x v="1"/>
    <x v="48"/>
    <x v="372"/>
    <x v="372"/>
    <x v="0"/>
    <x v="2"/>
    <n v="7"/>
    <x v="1"/>
    <x v="1"/>
    <x v="4"/>
  </r>
  <r>
    <s v="CUST-1374"/>
    <n v="43"/>
    <x v="0"/>
    <x v="25"/>
    <x v="373"/>
    <x v="373"/>
    <x v="0"/>
    <x v="3"/>
    <n v="3"/>
    <x v="1"/>
    <x v="0"/>
    <x v="4"/>
  </r>
  <r>
    <s v="CUST-1375"/>
    <n v="35"/>
    <x v="1"/>
    <x v="0"/>
    <x v="374"/>
    <x v="374"/>
    <x v="0"/>
    <x v="4"/>
    <n v="10"/>
    <x v="1"/>
    <x v="0"/>
    <x v="4"/>
  </r>
  <r>
    <s v="CUST-1376"/>
    <n v="32"/>
    <x v="0"/>
    <x v="31"/>
    <x v="375"/>
    <x v="375"/>
    <x v="1"/>
    <x v="3"/>
    <n v="6"/>
    <x v="0"/>
    <x v="0"/>
    <x v="2"/>
  </r>
  <r>
    <s v="CUST-1377"/>
    <n v="30"/>
    <x v="1"/>
    <x v="18"/>
    <x v="376"/>
    <x v="376"/>
    <x v="0"/>
    <x v="2"/>
    <n v="5"/>
    <x v="1"/>
    <x v="1"/>
    <x v="2"/>
  </r>
  <r>
    <s v="CUST-1378"/>
    <n v="28"/>
    <x v="0"/>
    <x v="31"/>
    <x v="377"/>
    <x v="377"/>
    <x v="2"/>
    <x v="2"/>
    <n v="9"/>
    <x v="1"/>
    <x v="1"/>
    <x v="2"/>
  </r>
  <r>
    <s v="CUST-1379"/>
    <n v="30"/>
    <x v="0"/>
    <x v="44"/>
    <x v="378"/>
    <x v="378"/>
    <x v="0"/>
    <x v="1"/>
    <n v="4"/>
    <x v="2"/>
    <x v="0"/>
    <x v="2"/>
  </r>
  <r>
    <s v="CUST-1380"/>
    <n v="50"/>
    <x v="1"/>
    <x v="59"/>
    <x v="379"/>
    <x v="379"/>
    <x v="0"/>
    <x v="4"/>
    <n v="9"/>
    <x v="2"/>
    <x v="1"/>
    <x v="3"/>
  </r>
  <r>
    <s v="CUST-1381"/>
    <n v="48"/>
    <x v="1"/>
    <x v="29"/>
    <x v="380"/>
    <x v="380"/>
    <x v="2"/>
    <x v="0"/>
    <n v="4"/>
    <x v="1"/>
    <x v="0"/>
    <x v="3"/>
  </r>
  <r>
    <s v="CUST-1382"/>
    <n v="28"/>
    <x v="0"/>
    <x v="49"/>
    <x v="381"/>
    <x v="381"/>
    <x v="0"/>
    <x v="4"/>
    <n v="8"/>
    <x v="1"/>
    <x v="0"/>
    <x v="2"/>
  </r>
  <r>
    <s v="CUST-1383"/>
    <n v="61"/>
    <x v="0"/>
    <x v="43"/>
    <x v="382"/>
    <x v="382"/>
    <x v="2"/>
    <x v="0"/>
    <n v="3"/>
    <x v="2"/>
    <x v="0"/>
    <x v="0"/>
  </r>
  <r>
    <s v="CUST-1384"/>
    <n v="37"/>
    <x v="1"/>
    <x v="47"/>
    <x v="383"/>
    <x v="383"/>
    <x v="0"/>
    <x v="1"/>
    <n v="7"/>
    <x v="2"/>
    <x v="0"/>
    <x v="4"/>
  </r>
  <r>
    <s v="CUST-1385"/>
    <n v="57"/>
    <x v="1"/>
    <x v="32"/>
    <x v="384"/>
    <x v="384"/>
    <x v="2"/>
    <x v="3"/>
    <n v="8"/>
    <x v="0"/>
    <x v="0"/>
    <x v="0"/>
  </r>
  <r>
    <s v="CUST-1386"/>
    <n v="36"/>
    <x v="1"/>
    <x v="34"/>
    <x v="385"/>
    <x v="385"/>
    <x v="1"/>
    <x v="3"/>
    <n v="4"/>
    <x v="2"/>
    <x v="0"/>
    <x v="4"/>
  </r>
  <r>
    <s v="CUST-1387"/>
    <n v="59"/>
    <x v="1"/>
    <x v="51"/>
    <x v="386"/>
    <x v="386"/>
    <x v="1"/>
    <x v="2"/>
    <n v="6"/>
    <x v="0"/>
    <x v="1"/>
    <x v="0"/>
  </r>
  <r>
    <s v="CUST-1388"/>
    <n v="26"/>
    <x v="0"/>
    <x v="42"/>
    <x v="387"/>
    <x v="387"/>
    <x v="1"/>
    <x v="4"/>
    <n v="6"/>
    <x v="0"/>
    <x v="1"/>
    <x v="2"/>
  </r>
  <r>
    <s v="CUST-1389"/>
    <n v="63"/>
    <x v="0"/>
    <x v="27"/>
    <x v="388"/>
    <x v="388"/>
    <x v="0"/>
    <x v="4"/>
    <n v="10"/>
    <x v="2"/>
    <x v="1"/>
    <x v="0"/>
  </r>
  <r>
    <s v="CUST-1390"/>
    <n v="28"/>
    <x v="0"/>
    <x v="46"/>
    <x v="389"/>
    <x v="389"/>
    <x v="0"/>
    <x v="2"/>
    <n v="2"/>
    <x v="0"/>
    <x v="0"/>
    <x v="2"/>
  </r>
  <r>
    <s v="CUST-1391"/>
    <n v="59"/>
    <x v="0"/>
    <x v="2"/>
    <x v="390"/>
    <x v="390"/>
    <x v="0"/>
    <x v="3"/>
    <n v="5"/>
    <x v="2"/>
    <x v="0"/>
    <x v="0"/>
  </r>
  <r>
    <s v="CUST-1392"/>
    <n v="47"/>
    <x v="0"/>
    <x v="43"/>
    <x v="391"/>
    <x v="391"/>
    <x v="2"/>
    <x v="2"/>
    <n v="1"/>
    <x v="2"/>
    <x v="0"/>
    <x v="3"/>
  </r>
  <r>
    <s v="CUST-1393"/>
    <n v="50"/>
    <x v="0"/>
    <x v="45"/>
    <x v="392"/>
    <x v="392"/>
    <x v="0"/>
    <x v="1"/>
    <n v="2"/>
    <x v="1"/>
    <x v="1"/>
    <x v="3"/>
  </r>
  <r>
    <s v="CUST-1394"/>
    <n v="54"/>
    <x v="1"/>
    <x v="10"/>
    <x v="393"/>
    <x v="393"/>
    <x v="2"/>
    <x v="4"/>
    <n v="5"/>
    <x v="0"/>
    <x v="0"/>
    <x v="3"/>
  </r>
  <r>
    <s v="CUST-1395"/>
    <n v="38"/>
    <x v="0"/>
    <x v="17"/>
    <x v="394"/>
    <x v="394"/>
    <x v="2"/>
    <x v="2"/>
    <n v="2"/>
    <x v="2"/>
    <x v="0"/>
    <x v="4"/>
  </r>
  <r>
    <s v="CUST-1396"/>
    <n v="23"/>
    <x v="0"/>
    <x v="25"/>
    <x v="395"/>
    <x v="395"/>
    <x v="0"/>
    <x v="4"/>
    <n v="6"/>
    <x v="1"/>
    <x v="1"/>
    <x v="1"/>
  </r>
  <r>
    <s v="CUST-1397"/>
    <n v="30"/>
    <x v="1"/>
    <x v="17"/>
    <x v="396"/>
    <x v="396"/>
    <x v="0"/>
    <x v="0"/>
    <n v="10"/>
    <x v="1"/>
    <x v="1"/>
    <x v="2"/>
  </r>
  <r>
    <s v="CUST-1398"/>
    <n v="33"/>
    <x v="0"/>
    <x v="53"/>
    <x v="397"/>
    <x v="397"/>
    <x v="0"/>
    <x v="2"/>
    <n v="9"/>
    <x v="2"/>
    <x v="1"/>
    <x v="2"/>
  </r>
  <r>
    <s v="CUST-1399"/>
    <n v="20"/>
    <x v="1"/>
    <x v="46"/>
    <x v="398"/>
    <x v="398"/>
    <x v="0"/>
    <x v="4"/>
    <n v="10"/>
    <x v="1"/>
    <x v="1"/>
    <x v="1"/>
  </r>
  <r>
    <s v="CUST-1400"/>
    <n v="49"/>
    <x v="1"/>
    <x v="36"/>
    <x v="399"/>
    <x v="399"/>
    <x v="1"/>
    <x v="4"/>
    <n v="0"/>
    <x v="1"/>
    <x v="0"/>
    <x v="3"/>
  </r>
  <r>
    <s v="CUST-1401"/>
    <n v="26"/>
    <x v="0"/>
    <x v="41"/>
    <x v="400"/>
    <x v="400"/>
    <x v="0"/>
    <x v="0"/>
    <n v="6"/>
    <x v="0"/>
    <x v="1"/>
    <x v="2"/>
  </r>
  <r>
    <s v="CUST-1402"/>
    <n v="52"/>
    <x v="0"/>
    <x v="57"/>
    <x v="401"/>
    <x v="401"/>
    <x v="2"/>
    <x v="0"/>
    <n v="0"/>
    <x v="0"/>
    <x v="1"/>
    <x v="3"/>
  </r>
  <r>
    <s v="CUST-1403"/>
    <n v="46"/>
    <x v="1"/>
    <x v="26"/>
    <x v="402"/>
    <x v="402"/>
    <x v="0"/>
    <x v="0"/>
    <n v="4"/>
    <x v="2"/>
    <x v="0"/>
    <x v="3"/>
  </r>
  <r>
    <s v="CUST-1404"/>
    <n v="60"/>
    <x v="1"/>
    <x v="25"/>
    <x v="403"/>
    <x v="403"/>
    <x v="1"/>
    <x v="0"/>
    <n v="8"/>
    <x v="0"/>
    <x v="0"/>
    <x v="0"/>
  </r>
  <r>
    <s v="CUST-1405"/>
    <n v="36"/>
    <x v="0"/>
    <x v="30"/>
    <x v="404"/>
    <x v="404"/>
    <x v="0"/>
    <x v="3"/>
    <n v="8"/>
    <x v="1"/>
    <x v="1"/>
    <x v="4"/>
  </r>
  <r>
    <s v="CUST-1406"/>
    <n v="44"/>
    <x v="1"/>
    <x v="6"/>
    <x v="405"/>
    <x v="405"/>
    <x v="0"/>
    <x v="4"/>
    <n v="5"/>
    <x v="1"/>
    <x v="1"/>
    <x v="4"/>
  </r>
  <r>
    <s v="CUST-1407"/>
    <n v="60"/>
    <x v="0"/>
    <x v="38"/>
    <x v="406"/>
    <x v="406"/>
    <x v="0"/>
    <x v="0"/>
    <n v="8"/>
    <x v="1"/>
    <x v="0"/>
    <x v="0"/>
  </r>
  <r>
    <s v="CUST-1408"/>
    <n v="24"/>
    <x v="1"/>
    <x v="42"/>
    <x v="407"/>
    <x v="407"/>
    <x v="0"/>
    <x v="4"/>
    <n v="0"/>
    <x v="1"/>
    <x v="0"/>
    <x v="1"/>
  </r>
  <r>
    <s v="CUST-1409"/>
    <n v="20"/>
    <x v="1"/>
    <x v="33"/>
    <x v="408"/>
    <x v="408"/>
    <x v="2"/>
    <x v="0"/>
    <n v="0"/>
    <x v="1"/>
    <x v="0"/>
    <x v="1"/>
  </r>
  <r>
    <s v="CUST-1410"/>
    <n v="60"/>
    <x v="0"/>
    <x v="27"/>
    <x v="409"/>
    <x v="409"/>
    <x v="2"/>
    <x v="0"/>
    <n v="5"/>
    <x v="2"/>
    <x v="1"/>
    <x v="0"/>
  </r>
  <r>
    <s v="CUST-1411"/>
    <n v="43"/>
    <x v="1"/>
    <x v="52"/>
    <x v="410"/>
    <x v="410"/>
    <x v="1"/>
    <x v="4"/>
    <n v="10"/>
    <x v="1"/>
    <x v="1"/>
    <x v="4"/>
  </r>
  <r>
    <s v="CUST-1412"/>
    <n v="62"/>
    <x v="0"/>
    <x v="49"/>
    <x v="411"/>
    <x v="411"/>
    <x v="2"/>
    <x v="2"/>
    <n v="10"/>
    <x v="2"/>
    <x v="1"/>
    <x v="0"/>
  </r>
  <r>
    <s v="CUST-1413"/>
    <n v="42"/>
    <x v="1"/>
    <x v="25"/>
    <x v="412"/>
    <x v="412"/>
    <x v="1"/>
    <x v="1"/>
    <n v="7"/>
    <x v="2"/>
    <x v="1"/>
    <x v="4"/>
  </r>
  <r>
    <s v="CUST-1414"/>
    <n v="44"/>
    <x v="1"/>
    <x v="1"/>
    <x v="413"/>
    <x v="413"/>
    <x v="0"/>
    <x v="2"/>
    <n v="9"/>
    <x v="0"/>
    <x v="1"/>
    <x v="4"/>
  </r>
  <r>
    <s v="CUST-1415"/>
    <n v="60"/>
    <x v="1"/>
    <x v="50"/>
    <x v="414"/>
    <x v="414"/>
    <x v="0"/>
    <x v="1"/>
    <n v="7"/>
    <x v="2"/>
    <x v="0"/>
    <x v="0"/>
  </r>
  <r>
    <s v="CUST-1416"/>
    <n v="59"/>
    <x v="1"/>
    <x v="10"/>
    <x v="415"/>
    <x v="415"/>
    <x v="1"/>
    <x v="0"/>
    <n v="0"/>
    <x v="0"/>
    <x v="0"/>
    <x v="0"/>
  </r>
  <r>
    <s v="CUST-1417"/>
    <n v="50"/>
    <x v="1"/>
    <x v="49"/>
    <x v="416"/>
    <x v="416"/>
    <x v="2"/>
    <x v="3"/>
    <n v="3"/>
    <x v="2"/>
    <x v="0"/>
    <x v="3"/>
  </r>
  <r>
    <s v="CUST-1418"/>
    <n v="21"/>
    <x v="0"/>
    <x v="11"/>
    <x v="417"/>
    <x v="417"/>
    <x v="0"/>
    <x v="4"/>
    <n v="7"/>
    <x v="0"/>
    <x v="0"/>
    <x v="1"/>
  </r>
  <r>
    <s v="CUST-1419"/>
    <n v="49"/>
    <x v="1"/>
    <x v="23"/>
    <x v="418"/>
    <x v="418"/>
    <x v="2"/>
    <x v="0"/>
    <n v="6"/>
    <x v="2"/>
    <x v="1"/>
    <x v="3"/>
  </r>
  <r>
    <s v="CUST-1420"/>
    <n v="53"/>
    <x v="0"/>
    <x v="7"/>
    <x v="419"/>
    <x v="419"/>
    <x v="2"/>
    <x v="3"/>
    <n v="8"/>
    <x v="0"/>
    <x v="1"/>
    <x v="3"/>
  </r>
  <r>
    <s v="CUST-1421"/>
    <n v="60"/>
    <x v="1"/>
    <x v="27"/>
    <x v="420"/>
    <x v="420"/>
    <x v="0"/>
    <x v="4"/>
    <n v="5"/>
    <x v="0"/>
    <x v="0"/>
    <x v="0"/>
  </r>
  <r>
    <s v="CUST-1422"/>
    <n v="56"/>
    <x v="1"/>
    <x v="35"/>
    <x v="421"/>
    <x v="421"/>
    <x v="0"/>
    <x v="1"/>
    <n v="0"/>
    <x v="2"/>
    <x v="0"/>
    <x v="0"/>
  </r>
  <r>
    <s v="CUST-1423"/>
    <n v="58"/>
    <x v="1"/>
    <x v="11"/>
    <x v="422"/>
    <x v="422"/>
    <x v="0"/>
    <x v="1"/>
    <n v="7"/>
    <x v="1"/>
    <x v="0"/>
    <x v="0"/>
  </r>
  <r>
    <s v="CUST-1424"/>
    <n v="65"/>
    <x v="1"/>
    <x v="3"/>
    <x v="423"/>
    <x v="423"/>
    <x v="0"/>
    <x v="4"/>
    <n v="3"/>
    <x v="2"/>
    <x v="0"/>
    <x v="0"/>
  </r>
  <r>
    <s v="CUST-1425"/>
    <n v="30"/>
    <x v="1"/>
    <x v="3"/>
    <x v="424"/>
    <x v="424"/>
    <x v="2"/>
    <x v="2"/>
    <n v="1"/>
    <x v="2"/>
    <x v="0"/>
    <x v="2"/>
  </r>
  <r>
    <s v="CUST-1426"/>
    <n v="55"/>
    <x v="0"/>
    <x v="13"/>
    <x v="425"/>
    <x v="425"/>
    <x v="2"/>
    <x v="4"/>
    <n v="9"/>
    <x v="2"/>
    <x v="0"/>
    <x v="0"/>
  </r>
  <r>
    <s v="CUST-1427"/>
    <n v="29"/>
    <x v="0"/>
    <x v="41"/>
    <x v="426"/>
    <x v="426"/>
    <x v="2"/>
    <x v="2"/>
    <n v="5"/>
    <x v="0"/>
    <x v="0"/>
    <x v="2"/>
  </r>
  <r>
    <s v="CUST-1428"/>
    <n v="44"/>
    <x v="0"/>
    <x v="37"/>
    <x v="427"/>
    <x v="427"/>
    <x v="0"/>
    <x v="1"/>
    <n v="2"/>
    <x v="2"/>
    <x v="0"/>
    <x v="4"/>
  </r>
  <r>
    <s v="CUST-1429"/>
    <n v="65"/>
    <x v="1"/>
    <x v="12"/>
    <x v="428"/>
    <x v="428"/>
    <x v="2"/>
    <x v="2"/>
    <n v="10"/>
    <x v="1"/>
    <x v="1"/>
    <x v="0"/>
  </r>
  <r>
    <s v="CUST-1430"/>
    <n v="57"/>
    <x v="1"/>
    <x v="34"/>
    <x v="429"/>
    <x v="429"/>
    <x v="1"/>
    <x v="1"/>
    <n v="8"/>
    <x v="0"/>
    <x v="0"/>
    <x v="0"/>
  </r>
  <r>
    <s v="CUST-1431"/>
    <n v="38"/>
    <x v="0"/>
    <x v="36"/>
    <x v="430"/>
    <x v="430"/>
    <x v="2"/>
    <x v="4"/>
    <n v="10"/>
    <x v="0"/>
    <x v="0"/>
    <x v="4"/>
  </r>
  <r>
    <s v="CUST-1432"/>
    <n v="52"/>
    <x v="1"/>
    <x v="48"/>
    <x v="431"/>
    <x v="431"/>
    <x v="0"/>
    <x v="0"/>
    <n v="6"/>
    <x v="1"/>
    <x v="1"/>
    <x v="3"/>
  </r>
  <r>
    <s v="CUST-1433"/>
    <n v="21"/>
    <x v="0"/>
    <x v="37"/>
    <x v="432"/>
    <x v="432"/>
    <x v="0"/>
    <x v="3"/>
    <n v="2"/>
    <x v="1"/>
    <x v="0"/>
    <x v="1"/>
  </r>
  <r>
    <s v="CUST-1434"/>
    <n v="36"/>
    <x v="0"/>
    <x v="36"/>
    <x v="433"/>
    <x v="433"/>
    <x v="0"/>
    <x v="2"/>
    <n v="10"/>
    <x v="0"/>
    <x v="0"/>
    <x v="4"/>
  </r>
  <r>
    <s v="CUST-1435"/>
    <n v="32"/>
    <x v="1"/>
    <x v="44"/>
    <x v="434"/>
    <x v="434"/>
    <x v="2"/>
    <x v="0"/>
    <n v="6"/>
    <x v="2"/>
    <x v="0"/>
    <x v="2"/>
  </r>
  <r>
    <s v="CUST-1436"/>
    <n v="61"/>
    <x v="1"/>
    <x v="11"/>
    <x v="435"/>
    <x v="435"/>
    <x v="0"/>
    <x v="4"/>
    <n v="3"/>
    <x v="0"/>
    <x v="0"/>
    <x v="0"/>
  </r>
  <r>
    <s v="CUST-1437"/>
    <n v="59"/>
    <x v="1"/>
    <x v="36"/>
    <x v="436"/>
    <x v="436"/>
    <x v="0"/>
    <x v="1"/>
    <n v="4"/>
    <x v="2"/>
    <x v="1"/>
    <x v="0"/>
  </r>
  <r>
    <s v="CUST-1438"/>
    <n v="61"/>
    <x v="0"/>
    <x v="20"/>
    <x v="437"/>
    <x v="437"/>
    <x v="0"/>
    <x v="0"/>
    <n v="6"/>
    <x v="2"/>
    <x v="1"/>
    <x v="0"/>
  </r>
  <r>
    <s v="CUST-1439"/>
    <n v="26"/>
    <x v="0"/>
    <x v="32"/>
    <x v="438"/>
    <x v="438"/>
    <x v="0"/>
    <x v="1"/>
    <n v="0"/>
    <x v="1"/>
    <x v="0"/>
    <x v="2"/>
  </r>
  <r>
    <s v="CUST-1440"/>
    <n v="56"/>
    <x v="0"/>
    <x v="40"/>
    <x v="439"/>
    <x v="439"/>
    <x v="2"/>
    <x v="4"/>
    <n v="9"/>
    <x v="0"/>
    <x v="1"/>
    <x v="0"/>
  </r>
  <r>
    <s v="CUST-1441"/>
    <n v="63"/>
    <x v="1"/>
    <x v="50"/>
    <x v="440"/>
    <x v="440"/>
    <x v="0"/>
    <x v="2"/>
    <n v="2"/>
    <x v="2"/>
    <x v="0"/>
    <x v="0"/>
  </r>
  <r>
    <s v="CUST-1442"/>
    <n v="43"/>
    <x v="0"/>
    <x v="29"/>
    <x v="441"/>
    <x v="441"/>
    <x v="0"/>
    <x v="3"/>
    <n v="4"/>
    <x v="1"/>
    <x v="0"/>
    <x v="4"/>
  </r>
  <r>
    <s v="CUST-1443"/>
    <n v="57"/>
    <x v="1"/>
    <x v="11"/>
    <x v="442"/>
    <x v="442"/>
    <x v="0"/>
    <x v="3"/>
    <n v="7"/>
    <x v="1"/>
    <x v="0"/>
    <x v="0"/>
  </r>
  <r>
    <s v="CUST-1444"/>
    <n v="57"/>
    <x v="0"/>
    <x v="1"/>
    <x v="443"/>
    <x v="443"/>
    <x v="1"/>
    <x v="0"/>
    <n v="6"/>
    <x v="2"/>
    <x v="0"/>
    <x v="0"/>
  </r>
  <r>
    <s v="CUST-1445"/>
    <n v="36"/>
    <x v="0"/>
    <x v="38"/>
    <x v="444"/>
    <x v="444"/>
    <x v="0"/>
    <x v="2"/>
    <n v="7"/>
    <x v="2"/>
    <x v="1"/>
    <x v="4"/>
  </r>
  <r>
    <s v="CUST-1446"/>
    <n v="59"/>
    <x v="0"/>
    <x v="23"/>
    <x v="445"/>
    <x v="445"/>
    <x v="0"/>
    <x v="2"/>
    <n v="8"/>
    <x v="1"/>
    <x v="0"/>
    <x v="0"/>
  </r>
  <r>
    <s v="CUST-1447"/>
    <n v="31"/>
    <x v="0"/>
    <x v="45"/>
    <x v="446"/>
    <x v="446"/>
    <x v="0"/>
    <x v="4"/>
    <n v="10"/>
    <x v="1"/>
    <x v="0"/>
    <x v="2"/>
  </r>
  <r>
    <s v="CUST-1448"/>
    <n v="27"/>
    <x v="0"/>
    <x v="52"/>
    <x v="447"/>
    <x v="447"/>
    <x v="0"/>
    <x v="1"/>
    <n v="4"/>
    <x v="0"/>
    <x v="1"/>
    <x v="2"/>
  </r>
  <r>
    <s v="CUST-1449"/>
    <n v="32"/>
    <x v="1"/>
    <x v="56"/>
    <x v="448"/>
    <x v="448"/>
    <x v="0"/>
    <x v="0"/>
    <n v="6"/>
    <x v="0"/>
    <x v="1"/>
    <x v="2"/>
  </r>
  <r>
    <s v="CUST-1450"/>
    <n v="18"/>
    <x v="0"/>
    <x v="36"/>
    <x v="449"/>
    <x v="449"/>
    <x v="1"/>
    <x v="3"/>
    <n v="8"/>
    <x v="1"/>
    <x v="1"/>
    <x v="1"/>
  </r>
  <r>
    <s v="CUST-1451"/>
    <n v="61"/>
    <x v="1"/>
    <x v="57"/>
    <x v="450"/>
    <x v="450"/>
    <x v="0"/>
    <x v="4"/>
    <n v="10"/>
    <x v="1"/>
    <x v="1"/>
    <x v="0"/>
  </r>
  <r>
    <s v="CUST-1452"/>
    <n v="52"/>
    <x v="0"/>
    <x v="24"/>
    <x v="451"/>
    <x v="451"/>
    <x v="1"/>
    <x v="3"/>
    <n v="10"/>
    <x v="1"/>
    <x v="1"/>
    <x v="3"/>
  </r>
  <r>
    <s v="CUST-1453"/>
    <n v="64"/>
    <x v="1"/>
    <x v="17"/>
    <x v="452"/>
    <x v="452"/>
    <x v="0"/>
    <x v="0"/>
    <n v="9"/>
    <x v="0"/>
    <x v="1"/>
    <x v="0"/>
  </r>
  <r>
    <s v="CUST-1454"/>
    <n v="53"/>
    <x v="0"/>
    <x v="31"/>
    <x v="453"/>
    <x v="453"/>
    <x v="2"/>
    <x v="1"/>
    <n v="6"/>
    <x v="0"/>
    <x v="0"/>
    <x v="3"/>
  </r>
  <r>
    <s v="CUST-1455"/>
    <n v="27"/>
    <x v="0"/>
    <x v="20"/>
    <x v="454"/>
    <x v="454"/>
    <x v="0"/>
    <x v="1"/>
    <n v="10"/>
    <x v="0"/>
    <x v="0"/>
    <x v="2"/>
  </r>
  <r>
    <s v="CUST-1456"/>
    <n v="53"/>
    <x v="1"/>
    <x v="42"/>
    <x v="455"/>
    <x v="455"/>
    <x v="0"/>
    <x v="0"/>
    <n v="3"/>
    <x v="0"/>
    <x v="0"/>
    <x v="3"/>
  </r>
  <r>
    <s v="CUST-1457"/>
    <n v="39"/>
    <x v="1"/>
    <x v="24"/>
    <x v="456"/>
    <x v="456"/>
    <x v="0"/>
    <x v="0"/>
    <n v="3"/>
    <x v="2"/>
    <x v="1"/>
    <x v="4"/>
  </r>
  <r>
    <s v="CUST-1458"/>
    <n v="39"/>
    <x v="1"/>
    <x v="53"/>
    <x v="457"/>
    <x v="457"/>
    <x v="0"/>
    <x v="3"/>
    <n v="6"/>
    <x v="1"/>
    <x v="1"/>
    <x v="4"/>
  </r>
  <r>
    <s v="CUST-1459"/>
    <n v="33"/>
    <x v="0"/>
    <x v="35"/>
    <x v="458"/>
    <x v="458"/>
    <x v="1"/>
    <x v="1"/>
    <n v="10"/>
    <x v="0"/>
    <x v="1"/>
    <x v="2"/>
  </r>
  <r>
    <s v="CUST-1460"/>
    <n v="48"/>
    <x v="1"/>
    <x v="16"/>
    <x v="459"/>
    <x v="459"/>
    <x v="2"/>
    <x v="1"/>
    <n v="10"/>
    <x v="0"/>
    <x v="1"/>
    <x v="3"/>
  </r>
  <r>
    <s v="CUST-1461"/>
    <n v="35"/>
    <x v="0"/>
    <x v="9"/>
    <x v="460"/>
    <x v="460"/>
    <x v="1"/>
    <x v="0"/>
    <n v="1"/>
    <x v="1"/>
    <x v="0"/>
    <x v="4"/>
  </r>
  <r>
    <s v="CUST-1462"/>
    <n v="58"/>
    <x v="0"/>
    <x v="7"/>
    <x v="461"/>
    <x v="461"/>
    <x v="2"/>
    <x v="0"/>
    <n v="8"/>
    <x v="2"/>
    <x v="0"/>
    <x v="0"/>
  </r>
  <r>
    <s v="CUST-1463"/>
    <n v="52"/>
    <x v="1"/>
    <x v="42"/>
    <x v="462"/>
    <x v="462"/>
    <x v="0"/>
    <x v="2"/>
    <n v="4"/>
    <x v="1"/>
    <x v="1"/>
    <x v="3"/>
  </r>
  <r>
    <s v="CUST-1464"/>
    <n v="50"/>
    <x v="0"/>
    <x v="8"/>
    <x v="463"/>
    <x v="463"/>
    <x v="0"/>
    <x v="2"/>
    <n v="10"/>
    <x v="1"/>
    <x v="0"/>
    <x v="3"/>
  </r>
  <r>
    <s v="CUST-1465"/>
    <n v="26"/>
    <x v="1"/>
    <x v="6"/>
    <x v="464"/>
    <x v="464"/>
    <x v="2"/>
    <x v="1"/>
    <n v="7"/>
    <x v="2"/>
    <x v="1"/>
    <x v="2"/>
  </r>
  <r>
    <s v="CUST-1466"/>
    <n v="49"/>
    <x v="0"/>
    <x v="28"/>
    <x v="465"/>
    <x v="465"/>
    <x v="2"/>
    <x v="2"/>
    <n v="5"/>
    <x v="2"/>
    <x v="0"/>
    <x v="3"/>
  </r>
  <r>
    <s v="CUST-1467"/>
    <n v="47"/>
    <x v="0"/>
    <x v="1"/>
    <x v="466"/>
    <x v="466"/>
    <x v="2"/>
    <x v="2"/>
    <n v="10"/>
    <x v="2"/>
    <x v="0"/>
    <x v="3"/>
  </r>
  <r>
    <s v="CUST-1468"/>
    <n v="34"/>
    <x v="0"/>
    <x v="21"/>
    <x v="467"/>
    <x v="467"/>
    <x v="2"/>
    <x v="0"/>
    <n v="8"/>
    <x v="2"/>
    <x v="0"/>
    <x v="2"/>
  </r>
  <r>
    <s v="CUST-1469"/>
    <n v="32"/>
    <x v="1"/>
    <x v="29"/>
    <x v="468"/>
    <x v="468"/>
    <x v="2"/>
    <x v="2"/>
    <n v="0"/>
    <x v="0"/>
    <x v="0"/>
    <x v="2"/>
  </r>
  <r>
    <s v="CUST-1470"/>
    <n v="46"/>
    <x v="0"/>
    <x v="2"/>
    <x v="469"/>
    <x v="469"/>
    <x v="0"/>
    <x v="1"/>
    <n v="2"/>
    <x v="2"/>
    <x v="0"/>
    <x v="3"/>
  </r>
  <r>
    <s v="CUST-1471"/>
    <n v="25"/>
    <x v="0"/>
    <x v="56"/>
    <x v="470"/>
    <x v="470"/>
    <x v="0"/>
    <x v="4"/>
    <n v="7"/>
    <x v="1"/>
    <x v="1"/>
    <x v="2"/>
  </r>
  <r>
    <s v="CUST-1472"/>
    <n v="59"/>
    <x v="1"/>
    <x v="0"/>
    <x v="471"/>
    <x v="471"/>
    <x v="2"/>
    <x v="1"/>
    <n v="10"/>
    <x v="0"/>
    <x v="1"/>
    <x v="0"/>
  </r>
  <r>
    <s v="CUST-1473"/>
    <n v="54"/>
    <x v="0"/>
    <x v="19"/>
    <x v="472"/>
    <x v="472"/>
    <x v="0"/>
    <x v="4"/>
    <n v="9"/>
    <x v="0"/>
    <x v="0"/>
    <x v="3"/>
  </r>
  <r>
    <s v="CUST-1474"/>
    <n v="64"/>
    <x v="1"/>
    <x v="14"/>
    <x v="473"/>
    <x v="473"/>
    <x v="0"/>
    <x v="4"/>
    <n v="2"/>
    <x v="1"/>
    <x v="0"/>
    <x v="0"/>
  </r>
  <r>
    <s v="CUST-1475"/>
    <n v="56"/>
    <x v="0"/>
    <x v="30"/>
    <x v="474"/>
    <x v="474"/>
    <x v="2"/>
    <x v="2"/>
    <n v="4"/>
    <x v="1"/>
    <x v="0"/>
    <x v="0"/>
  </r>
  <r>
    <s v="CUST-1476"/>
    <n v="39"/>
    <x v="1"/>
    <x v="57"/>
    <x v="475"/>
    <x v="475"/>
    <x v="0"/>
    <x v="0"/>
    <n v="0"/>
    <x v="1"/>
    <x v="0"/>
    <x v="4"/>
  </r>
  <r>
    <s v="CUST-1477"/>
    <n v="50"/>
    <x v="1"/>
    <x v="7"/>
    <x v="476"/>
    <x v="476"/>
    <x v="0"/>
    <x v="2"/>
    <n v="9"/>
    <x v="1"/>
    <x v="0"/>
    <x v="3"/>
  </r>
  <r>
    <s v="CUST-1478"/>
    <n v="52"/>
    <x v="0"/>
    <x v="14"/>
    <x v="477"/>
    <x v="477"/>
    <x v="2"/>
    <x v="0"/>
    <n v="10"/>
    <x v="0"/>
    <x v="1"/>
    <x v="3"/>
  </r>
  <r>
    <s v="CUST-1479"/>
    <n v="44"/>
    <x v="1"/>
    <x v="45"/>
    <x v="478"/>
    <x v="478"/>
    <x v="0"/>
    <x v="4"/>
    <n v="6"/>
    <x v="2"/>
    <x v="0"/>
    <x v="4"/>
  </r>
  <r>
    <s v="CUST-1480"/>
    <n v="65"/>
    <x v="0"/>
    <x v="47"/>
    <x v="479"/>
    <x v="479"/>
    <x v="0"/>
    <x v="0"/>
    <n v="4"/>
    <x v="0"/>
    <x v="0"/>
    <x v="0"/>
  </r>
  <r>
    <s v="CUST-1481"/>
    <n v="44"/>
    <x v="1"/>
    <x v="51"/>
    <x v="480"/>
    <x v="480"/>
    <x v="0"/>
    <x v="2"/>
    <n v="1"/>
    <x v="0"/>
    <x v="1"/>
    <x v="4"/>
  </r>
  <r>
    <s v="CUST-1482"/>
    <n v="59"/>
    <x v="0"/>
    <x v="53"/>
    <x v="481"/>
    <x v="481"/>
    <x v="0"/>
    <x v="4"/>
    <n v="10"/>
    <x v="0"/>
    <x v="1"/>
    <x v="0"/>
  </r>
  <r>
    <s v="CUST-1483"/>
    <n v="52"/>
    <x v="1"/>
    <x v="39"/>
    <x v="482"/>
    <x v="482"/>
    <x v="2"/>
    <x v="1"/>
    <n v="6"/>
    <x v="0"/>
    <x v="0"/>
    <x v="3"/>
  </r>
  <r>
    <s v="CUST-1484"/>
    <n v="48"/>
    <x v="0"/>
    <x v="33"/>
    <x v="483"/>
    <x v="483"/>
    <x v="1"/>
    <x v="2"/>
    <n v="5"/>
    <x v="0"/>
    <x v="0"/>
    <x v="3"/>
  </r>
  <r>
    <s v="CUST-1485"/>
    <n v="26"/>
    <x v="0"/>
    <x v="58"/>
    <x v="484"/>
    <x v="484"/>
    <x v="1"/>
    <x v="0"/>
    <n v="3"/>
    <x v="0"/>
    <x v="0"/>
    <x v="2"/>
  </r>
  <r>
    <s v="CUST-1486"/>
    <n v="39"/>
    <x v="0"/>
    <x v="6"/>
    <x v="485"/>
    <x v="485"/>
    <x v="1"/>
    <x v="1"/>
    <n v="7"/>
    <x v="0"/>
    <x v="1"/>
    <x v="4"/>
  </r>
  <r>
    <s v="CUST-1487"/>
    <n v="22"/>
    <x v="1"/>
    <x v="2"/>
    <x v="486"/>
    <x v="486"/>
    <x v="2"/>
    <x v="4"/>
    <n v="9"/>
    <x v="0"/>
    <x v="0"/>
    <x v="1"/>
  </r>
  <r>
    <s v="CUST-1488"/>
    <n v="63"/>
    <x v="0"/>
    <x v="40"/>
    <x v="487"/>
    <x v="487"/>
    <x v="0"/>
    <x v="1"/>
    <n v="10"/>
    <x v="0"/>
    <x v="1"/>
    <x v="0"/>
  </r>
  <r>
    <s v="CUST-1489"/>
    <n v="20"/>
    <x v="0"/>
    <x v="25"/>
    <x v="488"/>
    <x v="488"/>
    <x v="0"/>
    <x v="0"/>
    <n v="2"/>
    <x v="1"/>
    <x v="0"/>
    <x v="1"/>
  </r>
  <r>
    <s v="CUST-1490"/>
    <n v="43"/>
    <x v="1"/>
    <x v="5"/>
    <x v="489"/>
    <x v="489"/>
    <x v="0"/>
    <x v="0"/>
    <n v="1"/>
    <x v="0"/>
    <x v="0"/>
    <x v="4"/>
  </r>
  <r>
    <s v="CUST-1491"/>
    <n v="53"/>
    <x v="1"/>
    <x v="29"/>
    <x v="490"/>
    <x v="490"/>
    <x v="2"/>
    <x v="1"/>
    <n v="7"/>
    <x v="2"/>
    <x v="0"/>
    <x v="3"/>
  </r>
  <r>
    <s v="CUST-1492"/>
    <n v="34"/>
    <x v="0"/>
    <x v="56"/>
    <x v="491"/>
    <x v="491"/>
    <x v="0"/>
    <x v="3"/>
    <n v="1"/>
    <x v="0"/>
    <x v="0"/>
    <x v="2"/>
  </r>
  <r>
    <s v="CUST-1493"/>
    <n v="52"/>
    <x v="1"/>
    <x v="53"/>
    <x v="492"/>
    <x v="492"/>
    <x v="0"/>
    <x v="1"/>
    <n v="5"/>
    <x v="2"/>
    <x v="0"/>
    <x v="3"/>
  </r>
  <r>
    <s v="CUST-1494"/>
    <n v="55"/>
    <x v="0"/>
    <x v="43"/>
    <x v="493"/>
    <x v="493"/>
    <x v="2"/>
    <x v="1"/>
    <n v="10"/>
    <x v="0"/>
    <x v="1"/>
    <x v="0"/>
  </r>
  <r>
    <s v="CUST-1495"/>
    <n v="38"/>
    <x v="1"/>
    <x v="29"/>
    <x v="494"/>
    <x v="494"/>
    <x v="1"/>
    <x v="1"/>
    <n v="4"/>
    <x v="1"/>
    <x v="0"/>
    <x v="4"/>
  </r>
  <r>
    <s v="CUST-1496"/>
    <n v="65"/>
    <x v="1"/>
    <x v="28"/>
    <x v="495"/>
    <x v="495"/>
    <x v="0"/>
    <x v="1"/>
    <n v="9"/>
    <x v="2"/>
    <x v="1"/>
    <x v="0"/>
  </r>
  <r>
    <s v="CUST-1497"/>
    <n v="65"/>
    <x v="0"/>
    <x v="13"/>
    <x v="496"/>
    <x v="496"/>
    <x v="0"/>
    <x v="3"/>
    <n v="3"/>
    <x v="1"/>
    <x v="1"/>
    <x v="0"/>
  </r>
  <r>
    <s v="CUST-1498"/>
    <n v="33"/>
    <x v="1"/>
    <x v="10"/>
    <x v="497"/>
    <x v="497"/>
    <x v="0"/>
    <x v="4"/>
    <n v="9"/>
    <x v="1"/>
    <x v="0"/>
    <x v="2"/>
  </r>
  <r>
    <s v="CUST-1499"/>
    <n v="52"/>
    <x v="0"/>
    <x v="49"/>
    <x v="498"/>
    <x v="498"/>
    <x v="0"/>
    <x v="2"/>
    <n v="4"/>
    <x v="2"/>
    <x v="1"/>
    <x v="3"/>
  </r>
  <r>
    <s v="CUST-1500"/>
    <n v="50"/>
    <x v="1"/>
    <x v="8"/>
    <x v="499"/>
    <x v="499"/>
    <x v="0"/>
    <x v="4"/>
    <n v="7"/>
    <x v="0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9012D-D9CD-4261-8C92-96CD5FD66CB4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dataField="1" showAll="0"/>
    <pivotField numFmtId="1" showAll="0"/>
    <pivotField showAll="0"/>
    <pivotField numFmtId="1" showAll="0"/>
    <pivotField numFmtId="2" showAll="0">
      <items count="2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umFmtId="2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64BC5-8FCA-45B0-9236-91E025B0D579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8" firstHeaderRow="1" firstDataRow="2" firstDataCol="1"/>
  <pivotFields count="12">
    <pivotField dataField="1" showAll="0"/>
    <pivotField numFmtId="1" showAll="0"/>
    <pivotField showAll="0"/>
    <pivotField numFmtId="1" showAll="0"/>
    <pivotField numFmtId="2" showAll="0">
      <items count="2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umFmtId="2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F61A4-D481-413D-A724-C20B5780E60A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2">
    <pivotField dataField="1" showAll="0"/>
    <pivotField numFmtId="1" showAll="0"/>
    <pivotField axis="axisRow" showAll="0">
      <items count="3">
        <item x="1"/>
        <item x="0"/>
        <item t="default"/>
      </items>
    </pivotField>
    <pivotField numFmtId="1" showAll="0"/>
    <pivotField numFmtId="2" showAll="0">
      <items count="2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umFmtId="2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D8A41-28C6-41C5-9BD5-E82C1C3D5652}" name="PivotTable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12">
    <pivotField dataField="1" showAll="0"/>
    <pivotField numFmtId="1" showAll="0"/>
    <pivotField showAll="0"/>
    <pivotField numFmtId="1" showAll="0"/>
    <pivotField numFmtId="2" showAll="0">
      <items count="2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umFmtId="2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0D9B4-9F8A-498C-A9C0-B9D71FF1AB52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0" firstHeaderRow="1" firstDataRow="2" firstDataCol="1"/>
  <pivotFields count="12">
    <pivotField dataField="1" showAll="0"/>
    <pivotField numFmtId="1" showAll="0"/>
    <pivotField showAll="0"/>
    <pivotField numFmtId="1" showAll="0"/>
    <pivotField numFmtId="2" showAll="0">
      <items count="2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umFmtId="2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622F2-F0D7-4961-8D92-53D75D726AF1}" name="PivotTable8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10" firstHeaderRow="1" firstDataRow="2" firstDataCol="1"/>
  <pivotFields count="12">
    <pivotField dataField="1" showAll="0"/>
    <pivotField numFmtId="1" showAll="0"/>
    <pivotField showAll="0"/>
    <pivotField numFmtId="1" showAll="0"/>
    <pivotField numFmtId="2" showAll="0">
      <items count="2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umFmtId="2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0A977-545A-4057-B428-452A62842CD0}" name="PivotTable9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65" firstHeaderRow="1" firstDataRow="2" firstDataCol="1"/>
  <pivotFields count="12">
    <pivotField dataField="1" showAll="0"/>
    <pivotField numFmtId="1" showAll="0"/>
    <pivotField showAll="0"/>
    <pivotField axis="axisRow" numFmtId="1" showAll="0">
      <items count="61">
        <item x="17"/>
        <item x="0"/>
        <item x="1"/>
        <item x="19"/>
        <item x="28"/>
        <item x="14"/>
        <item x="3"/>
        <item x="26"/>
        <item x="24"/>
        <item x="10"/>
        <item x="6"/>
        <item x="20"/>
        <item x="51"/>
        <item x="18"/>
        <item x="2"/>
        <item x="44"/>
        <item x="15"/>
        <item x="37"/>
        <item x="46"/>
        <item x="31"/>
        <item x="23"/>
        <item x="27"/>
        <item x="29"/>
        <item x="33"/>
        <item x="21"/>
        <item x="8"/>
        <item x="56"/>
        <item x="47"/>
        <item x="16"/>
        <item x="52"/>
        <item x="43"/>
        <item x="13"/>
        <item x="22"/>
        <item x="50"/>
        <item x="55"/>
        <item x="11"/>
        <item x="39"/>
        <item x="32"/>
        <item x="57"/>
        <item x="25"/>
        <item x="59"/>
        <item x="42"/>
        <item x="5"/>
        <item x="34"/>
        <item x="53"/>
        <item x="35"/>
        <item x="41"/>
        <item x="58"/>
        <item x="36"/>
        <item x="40"/>
        <item x="30"/>
        <item x="54"/>
        <item x="7"/>
        <item x="12"/>
        <item x="49"/>
        <item x="45"/>
        <item x="48"/>
        <item x="9"/>
        <item x="38"/>
        <item x="4"/>
        <item t="default"/>
      </items>
    </pivotField>
    <pivotField numFmtId="2" showAll="0">
      <items count="2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umFmtId="2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B1051-09FD-46D3-A977-B7859879E607}" name="PivotTable10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201" firstHeaderRow="1" firstDataRow="2" firstDataCol="1"/>
  <pivotFields count="12">
    <pivotField dataField="1" showAll="0"/>
    <pivotField numFmtId="1" showAll="0"/>
    <pivotField showAll="0"/>
    <pivotField numFmtId="1" showAll="0"/>
    <pivotField axis="axisRow" numFmtId="2" showAll="0">
      <items count="2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umFmtId="2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19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7"/>
    </i>
    <i>
      <x v="109"/>
    </i>
    <i>
      <x v="110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5"/>
    </i>
    <i>
      <x v="166"/>
    </i>
    <i>
      <x v="167"/>
    </i>
    <i>
      <x v="168"/>
    </i>
    <i>
      <x v="169"/>
    </i>
    <i>
      <x v="170"/>
    </i>
    <i>
      <x v="173"/>
    </i>
    <i>
      <x v="174"/>
    </i>
    <i>
      <x v="175"/>
    </i>
    <i>
      <x v="176"/>
    </i>
    <i>
      <x v="177"/>
    </i>
    <i>
      <x v="180"/>
    </i>
    <i>
      <x v="181"/>
    </i>
    <i>
      <x v="183"/>
    </i>
    <i>
      <x v="184"/>
    </i>
    <i>
      <x v="185"/>
    </i>
    <i>
      <x v="187"/>
    </i>
    <i>
      <x v="188"/>
    </i>
    <i>
      <x v="189"/>
    </i>
    <i>
      <x v="190"/>
    </i>
    <i>
      <x v="191"/>
    </i>
    <i>
      <x v="192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5"/>
    </i>
    <i>
      <x v="206"/>
    </i>
    <i>
      <x v="207"/>
    </i>
    <i>
      <x v="208"/>
    </i>
    <i>
      <x v="209"/>
    </i>
    <i>
      <x v="210"/>
    </i>
    <i>
      <x v="212"/>
    </i>
    <i>
      <x v="213"/>
    </i>
    <i>
      <x v="214"/>
    </i>
    <i>
      <x v="217"/>
    </i>
    <i>
      <x v="219"/>
    </i>
    <i>
      <x v="220"/>
    </i>
    <i>
      <x v="221"/>
    </i>
    <i>
      <x v="222"/>
    </i>
    <i>
      <x v="223"/>
    </i>
    <i>
      <x v="224"/>
    </i>
    <i>
      <x v="225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C2068-BADD-42F6-9E6B-76C41AF703BD}" name="PivotTable1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0" firstHeaderRow="1" firstDataRow="2" firstDataCol="1"/>
  <pivotFields count="12">
    <pivotField dataField="1" showAll="0"/>
    <pivotField numFmtId="1" showAll="0"/>
    <pivotField showAll="0"/>
    <pivotField numFmtId="1" showAll="0"/>
    <pivotField numFmtId="2" showAll="0"/>
    <pivotField axis="axisRow" numFmtId="2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5"/>
  </rowFields>
  <rowItems count="19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8"/>
    </i>
    <i>
      <x v="69"/>
    </i>
    <i>
      <x v="70"/>
    </i>
    <i>
      <x v="71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2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7"/>
    </i>
    <i>
      <x v="108"/>
    </i>
    <i>
      <x v="109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20"/>
    </i>
    <i>
      <x v="122"/>
    </i>
    <i>
      <x v="123"/>
    </i>
    <i>
      <x v="124"/>
    </i>
    <i>
      <x v="126"/>
    </i>
    <i>
      <x v="127"/>
    </i>
    <i>
      <x v="128"/>
    </i>
    <i>
      <x v="130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1"/>
    </i>
    <i>
      <x v="142"/>
    </i>
    <i>
      <x v="143"/>
    </i>
    <i>
      <x v="145"/>
    </i>
    <i>
      <x v="146"/>
    </i>
    <i>
      <x v="147"/>
    </i>
    <i>
      <x v="150"/>
    </i>
    <i>
      <x v="153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8"/>
    </i>
    <i>
      <x v="179"/>
    </i>
    <i>
      <x v="180"/>
    </i>
    <i>
      <x v="181"/>
    </i>
    <i>
      <x v="182"/>
    </i>
    <i>
      <x v="185"/>
    </i>
    <i>
      <x v="188"/>
    </i>
    <i>
      <x v="189"/>
    </i>
    <i>
      <x v="190"/>
    </i>
    <i>
      <x v="191"/>
    </i>
    <i>
      <x v="194"/>
    </i>
    <i>
      <x v="195"/>
    </i>
    <i>
      <x v="199"/>
    </i>
    <i>
      <x v="201"/>
    </i>
    <i>
      <x v="203"/>
    </i>
    <i>
      <x v="204"/>
    </i>
    <i>
      <x v="206"/>
    </i>
    <i>
      <x v="208"/>
    </i>
    <i>
      <x v="209"/>
    </i>
    <i>
      <x v="213"/>
    </i>
    <i>
      <x v="216"/>
    </i>
    <i>
      <x v="217"/>
    </i>
    <i>
      <x v="218"/>
    </i>
    <i>
      <x v="219"/>
    </i>
    <i>
      <x v="221"/>
    </i>
    <i>
      <x v="223"/>
    </i>
    <i>
      <x v="228"/>
    </i>
    <i>
      <x v="230"/>
    </i>
    <i>
      <x v="233"/>
    </i>
    <i>
      <x v="235"/>
    </i>
    <i>
      <x v="239"/>
    </i>
    <i>
      <x v="240"/>
    </i>
    <i>
      <x v="251"/>
    </i>
    <i>
      <x v="254"/>
    </i>
    <i>
      <x v="255"/>
    </i>
    <i>
      <x v="263"/>
    </i>
    <i>
      <x v="278"/>
    </i>
    <i>
      <x v="283"/>
    </i>
    <i>
      <x v="284"/>
    </i>
    <i>
      <x v="286"/>
    </i>
    <i>
      <x v="29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BB360-1434-41D6-9DC9-0126AA9AB8A8}" name="Table1" displayName="Table1" ref="A1:L501" totalsRowShown="0" headerRowDxfId="7" headerRowBorderDxfId="10" tableBorderDxfId="11">
  <autoFilter ref="A1:L501" xr:uid="{ED0BB360-1434-41D6-9DC9-0126AA9AB8A8}"/>
  <tableColumns count="12">
    <tableColumn id="1" xr3:uid="{4817284A-2F9A-47E9-805C-4F70144A9C7E}" name="Customer_ID" dataDxfId="4"/>
    <tableColumn id="2" xr3:uid="{64CE7D18-8E47-4418-9C3A-36A62A561F94}" name="Age" dataDxfId="6"/>
    <tableColumn id="3" xr3:uid="{FF752554-2A25-4B90-B308-2A6B34E59EF2}" name="Gender" dataDxfId="3"/>
    <tableColumn id="4" xr3:uid="{EAB6790D-C134-4E6E-A0CA-C9C85F69892F}" name="Tenure_Months" dataDxfId="5"/>
    <tableColumn id="5" xr3:uid="{AB95B413-E469-4EA6-BBD2-5D254547BA7F}" name="Monthly_Charges" dataDxfId="9"/>
    <tableColumn id="6" xr3:uid="{6B291ACC-37BE-4C51-9A95-7091BBE14899}" name="Total_Charges" dataDxfId="8"/>
    <tableColumn id="7" xr3:uid="{E64FC474-DCA0-4619-AF85-4EAB03A05695}" name="Contract_Type" dataDxfId="2"/>
    <tableColumn id="8" xr3:uid="{5AFA332D-40E6-46BD-B1C3-0293229B650F}" name="Payment_Method"/>
    <tableColumn id="9" xr3:uid="{DF4D68F9-D2CA-4B4E-B841-A771BEA61162}" name="Support_Calls"/>
    <tableColumn id="10" xr3:uid="{335F4B5E-2A1F-40B2-8804-87A90C6A4395}" name="Internet_Service"/>
    <tableColumn id="11" xr3:uid="{8BFBCF17-C195-42E2-B066-0A80DA498AB5}" name="Churn" dataDxfId="1"/>
    <tableColumn id="12" xr3:uid="{5EEABB06-ACEC-48FB-9F79-2BA79BA496D5}" name="Age Group">
      <calculatedColumnFormula>IF(Table1[[#This Row],[Age]]&lt;25,"Under 25",IF(Table1[[#This Row],[Age]]&lt;35,"25-34",IF(Table1[[#This Row],[Age]]&lt;45,"35-44",IF(Table1[[#This Row],[Age]]&lt;55,"45-54","55+"))))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E043-299D-42BA-9798-CA43657FD68D}">
  <dimension ref="A3:B7"/>
  <sheetViews>
    <sheetView workbookViewId="0">
      <selection activeCell="B4" sqref="B4"/>
    </sheetView>
  </sheetViews>
  <sheetFormatPr defaultRowHeight="14.4" x14ac:dyDescent="0.3"/>
  <cols>
    <col min="1" max="1" width="15.109375" bestFit="1" customWidth="1"/>
    <col min="2" max="2" width="19.88671875" bestFit="1" customWidth="1"/>
  </cols>
  <sheetData>
    <row r="3" spans="1:2" x14ac:dyDescent="0.3">
      <c r="A3" s="9" t="s">
        <v>534</v>
      </c>
      <c r="B3" t="s">
        <v>536</v>
      </c>
    </row>
    <row r="4" spans="1:2" x14ac:dyDescent="0.3">
      <c r="A4" s="10" t="s">
        <v>13</v>
      </c>
      <c r="B4" s="11">
        <v>279</v>
      </c>
    </row>
    <row r="5" spans="1:2" x14ac:dyDescent="0.3">
      <c r="A5" s="10" t="s">
        <v>35</v>
      </c>
      <c r="B5" s="11">
        <v>119</v>
      </c>
    </row>
    <row r="6" spans="1:2" x14ac:dyDescent="0.3">
      <c r="A6" s="10" t="s">
        <v>20</v>
      </c>
      <c r="B6" s="11">
        <v>102</v>
      </c>
    </row>
    <row r="7" spans="1:2" x14ac:dyDescent="0.3">
      <c r="A7" s="10" t="s">
        <v>535</v>
      </c>
      <c r="B7" s="11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DBF2-CCD8-4092-92A0-EC63270B3721}">
  <dimension ref="A3:D8"/>
  <sheetViews>
    <sheetView workbookViewId="0">
      <selection activeCell="B6" sqref="B6"/>
    </sheetView>
  </sheetViews>
  <sheetFormatPr defaultRowHeight="14.4" x14ac:dyDescent="0.3"/>
  <cols>
    <col min="1" max="1" width="19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9" t="s">
        <v>536</v>
      </c>
      <c r="B3" s="9" t="s">
        <v>537</v>
      </c>
    </row>
    <row r="4" spans="1:4" x14ac:dyDescent="0.3">
      <c r="A4" s="9" t="s">
        <v>534</v>
      </c>
      <c r="B4" t="s">
        <v>15</v>
      </c>
      <c r="C4" t="s">
        <v>23</v>
      </c>
      <c r="D4" t="s">
        <v>535</v>
      </c>
    </row>
    <row r="5" spans="1:4" x14ac:dyDescent="0.3">
      <c r="A5" s="10" t="s">
        <v>13</v>
      </c>
      <c r="B5" s="11">
        <v>150</v>
      </c>
      <c r="C5" s="11">
        <v>129</v>
      </c>
      <c r="D5" s="11">
        <v>279</v>
      </c>
    </row>
    <row r="6" spans="1:4" x14ac:dyDescent="0.3">
      <c r="A6" s="10" t="s">
        <v>35</v>
      </c>
      <c r="B6" s="11">
        <v>80</v>
      </c>
      <c r="C6" s="11">
        <v>39</v>
      </c>
      <c r="D6" s="11">
        <v>119</v>
      </c>
    </row>
    <row r="7" spans="1:4" x14ac:dyDescent="0.3">
      <c r="A7" s="10" t="s">
        <v>20</v>
      </c>
      <c r="B7" s="11">
        <v>68</v>
      </c>
      <c r="C7" s="11">
        <v>34</v>
      </c>
      <c r="D7" s="11">
        <v>102</v>
      </c>
    </row>
    <row r="8" spans="1:4" x14ac:dyDescent="0.3">
      <c r="A8" s="10" t="s">
        <v>535</v>
      </c>
      <c r="B8" s="11">
        <v>298</v>
      </c>
      <c r="C8" s="11">
        <v>202</v>
      </c>
      <c r="D8" s="1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A040-2C8D-40D1-B0E3-7A21F26F297B}">
  <dimension ref="A3:D7"/>
  <sheetViews>
    <sheetView workbookViewId="0">
      <selection activeCell="A3" sqref="A3"/>
    </sheetView>
  </sheetViews>
  <sheetFormatPr defaultRowHeight="14.4" x14ac:dyDescent="0.3"/>
  <cols>
    <col min="1" max="1" width="19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9" t="s">
        <v>536</v>
      </c>
      <c r="B3" s="9" t="s">
        <v>537</v>
      </c>
    </row>
    <row r="4" spans="1:4" x14ac:dyDescent="0.3">
      <c r="A4" s="9" t="s">
        <v>534</v>
      </c>
      <c r="B4" t="s">
        <v>15</v>
      </c>
      <c r="C4" t="s">
        <v>23</v>
      </c>
      <c r="D4" t="s">
        <v>535</v>
      </c>
    </row>
    <row r="5" spans="1:4" x14ac:dyDescent="0.3">
      <c r="A5" s="10" t="s">
        <v>17</v>
      </c>
      <c r="B5" s="11">
        <v>146</v>
      </c>
      <c r="C5" s="11">
        <v>110</v>
      </c>
      <c r="D5" s="11">
        <v>256</v>
      </c>
    </row>
    <row r="6" spans="1:4" x14ac:dyDescent="0.3">
      <c r="A6" s="10" t="s">
        <v>12</v>
      </c>
      <c r="B6" s="11">
        <v>152</v>
      </c>
      <c r="C6" s="11">
        <v>92</v>
      </c>
      <c r="D6" s="11">
        <v>244</v>
      </c>
    </row>
    <row r="7" spans="1:4" x14ac:dyDescent="0.3">
      <c r="A7" s="10" t="s">
        <v>535</v>
      </c>
      <c r="B7" s="11">
        <v>298</v>
      </c>
      <c r="C7" s="11">
        <v>202</v>
      </c>
      <c r="D7" s="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FBCE-999C-47EF-8F30-F41E8F1E79CB}">
  <dimension ref="A3:D8"/>
  <sheetViews>
    <sheetView workbookViewId="0">
      <selection activeCell="C5" sqref="C5"/>
    </sheetView>
  </sheetViews>
  <sheetFormatPr defaultRowHeight="14.4" x14ac:dyDescent="0.3"/>
  <cols>
    <col min="1" max="1" width="19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9" t="s">
        <v>536</v>
      </c>
      <c r="B3" s="9" t="s">
        <v>537</v>
      </c>
    </row>
    <row r="4" spans="1:4" x14ac:dyDescent="0.3">
      <c r="A4" s="9" t="s">
        <v>534</v>
      </c>
      <c r="B4" t="s">
        <v>15</v>
      </c>
      <c r="C4" t="s">
        <v>23</v>
      </c>
      <c r="D4" t="s">
        <v>535</v>
      </c>
    </row>
    <row r="5" spans="1:4" x14ac:dyDescent="0.3">
      <c r="A5" s="10" t="s">
        <v>22</v>
      </c>
      <c r="B5" s="11">
        <v>96</v>
      </c>
      <c r="C5" s="11">
        <v>60</v>
      </c>
      <c r="D5" s="11">
        <v>156</v>
      </c>
    </row>
    <row r="6" spans="1:4" x14ac:dyDescent="0.3">
      <c r="A6" s="10" t="s">
        <v>18</v>
      </c>
      <c r="B6" s="11">
        <v>93</v>
      </c>
      <c r="C6" s="11">
        <v>67</v>
      </c>
      <c r="D6" s="11">
        <v>160</v>
      </c>
    </row>
    <row r="7" spans="1:4" x14ac:dyDescent="0.3">
      <c r="A7" s="10" t="s">
        <v>15</v>
      </c>
      <c r="B7" s="11">
        <v>109</v>
      </c>
      <c r="C7" s="11">
        <v>75</v>
      </c>
      <c r="D7" s="11">
        <v>184</v>
      </c>
    </row>
    <row r="8" spans="1:4" x14ac:dyDescent="0.3">
      <c r="A8" s="10" t="s">
        <v>535</v>
      </c>
      <c r="B8" s="11">
        <v>298</v>
      </c>
      <c r="C8" s="11">
        <v>202</v>
      </c>
      <c r="D8" s="11">
        <v>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4BEF-8773-4463-B803-FCDA917E39E7}">
  <dimension ref="A3:D10"/>
  <sheetViews>
    <sheetView workbookViewId="0">
      <selection activeCell="B5" sqref="B5"/>
    </sheetView>
  </sheetViews>
  <sheetFormatPr defaultRowHeight="14.4" x14ac:dyDescent="0.3"/>
  <cols>
    <col min="1" max="1" width="19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9" t="s">
        <v>536</v>
      </c>
      <c r="B3" s="9" t="s">
        <v>537</v>
      </c>
    </row>
    <row r="4" spans="1:4" x14ac:dyDescent="0.3">
      <c r="A4" s="9" t="s">
        <v>534</v>
      </c>
      <c r="B4" t="s">
        <v>15</v>
      </c>
      <c r="C4" t="s">
        <v>23</v>
      </c>
      <c r="D4" t="s">
        <v>535</v>
      </c>
    </row>
    <row r="5" spans="1:4" x14ac:dyDescent="0.3">
      <c r="A5" s="10" t="s">
        <v>25</v>
      </c>
      <c r="B5" s="11">
        <v>69</v>
      </c>
      <c r="C5" s="11">
        <v>48</v>
      </c>
      <c r="D5" s="11">
        <v>117</v>
      </c>
    </row>
    <row r="6" spans="1:4" x14ac:dyDescent="0.3">
      <c r="A6" s="10" t="s">
        <v>21</v>
      </c>
      <c r="B6" s="11">
        <v>50</v>
      </c>
      <c r="C6" s="11">
        <v>42</v>
      </c>
      <c r="D6" s="11">
        <v>92</v>
      </c>
    </row>
    <row r="7" spans="1:4" x14ac:dyDescent="0.3">
      <c r="A7" s="10" t="s">
        <v>37</v>
      </c>
      <c r="B7" s="11">
        <v>48</v>
      </c>
      <c r="C7" s="11">
        <v>33</v>
      </c>
      <c r="D7" s="11">
        <v>81</v>
      </c>
    </row>
    <row r="8" spans="1:4" x14ac:dyDescent="0.3">
      <c r="A8" s="10" t="s">
        <v>46</v>
      </c>
      <c r="B8" s="11">
        <v>66</v>
      </c>
      <c r="C8" s="11">
        <v>42</v>
      </c>
      <c r="D8" s="11">
        <v>108</v>
      </c>
    </row>
    <row r="9" spans="1:4" x14ac:dyDescent="0.3">
      <c r="A9" s="10" t="s">
        <v>14</v>
      </c>
      <c r="B9" s="11">
        <v>65</v>
      </c>
      <c r="C9" s="11">
        <v>37</v>
      </c>
      <c r="D9" s="11">
        <v>102</v>
      </c>
    </row>
    <row r="10" spans="1:4" x14ac:dyDescent="0.3">
      <c r="A10" s="10" t="s">
        <v>535</v>
      </c>
      <c r="B10" s="11">
        <v>298</v>
      </c>
      <c r="C10" s="11">
        <v>202</v>
      </c>
      <c r="D10" s="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D180-AD68-4236-A659-44D402CC5732}">
  <dimension ref="A3:D10"/>
  <sheetViews>
    <sheetView workbookViewId="0">
      <selection activeCell="C7" sqref="C7"/>
    </sheetView>
  </sheetViews>
  <sheetFormatPr defaultRowHeight="14.4" x14ac:dyDescent="0.3"/>
  <cols>
    <col min="1" max="1" width="19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9" t="s">
        <v>536</v>
      </c>
      <c r="B3" s="9" t="s">
        <v>537</v>
      </c>
    </row>
    <row r="4" spans="1:4" x14ac:dyDescent="0.3">
      <c r="A4" s="9" t="s">
        <v>534</v>
      </c>
      <c r="B4" t="s">
        <v>15</v>
      </c>
      <c r="C4" t="s">
        <v>23</v>
      </c>
      <c r="D4" t="s">
        <v>535</v>
      </c>
    </row>
    <row r="5" spans="1:4" x14ac:dyDescent="0.3">
      <c r="A5" s="10" t="s">
        <v>539</v>
      </c>
      <c r="B5" s="11">
        <v>57</v>
      </c>
      <c r="C5" s="11">
        <v>41</v>
      </c>
      <c r="D5" s="11">
        <v>98</v>
      </c>
    </row>
    <row r="6" spans="1:4" x14ac:dyDescent="0.3">
      <c r="A6" s="10" t="s">
        <v>540</v>
      </c>
      <c r="B6" s="11">
        <v>58</v>
      </c>
      <c r="C6" s="11">
        <v>37</v>
      </c>
      <c r="D6" s="11">
        <v>95</v>
      </c>
    </row>
    <row r="7" spans="1:4" x14ac:dyDescent="0.3">
      <c r="A7" s="10" t="s">
        <v>541</v>
      </c>
      <c r="B7" s="11">
        <v>68</v>
      </c>
      <c r="C7" s="11">
        <v>42</v>
      </c>
      <c r="D7" s="11">
        <v>110</v>
      </c>
    </row>
    <row r="8" spans="1:4" x14ac:dyDescent="0.3">
      <c r="A8" s="10" t="s">
        <v>542</v>
      </c>
      <c r="B8" s="11">
        <v>74</v>
      </c>
      <c r="C8" s="11">
        <v>59</v>
      </c>
      <c r="D8" s="11">
        <v>133</v>
      </c>
    </row>
    <row r="9" spans="1:4" x14ac:dyDescent="0.3">
      <c r="A9" s="10" t="s">
        <v>543</v>
      </c>
      <c r="B9" s="11">
        <v>41</v>
      </c>
      <c r="C9" s="11">
        <v>23</v>
      </c>
      <c r="D9" s="11">
        <v>64</v>
      </c>
    </row>
    <row r="10" spans="1:4" x14ac:dyDescent="0.3">
      <c r="A10" s="10" t="s">
        <v>535</v>
      </c>
      <c r="B10" s="11">
        <v>298</v>
      </c>
      <c r="C10" s="11">
        <v>202</v>
      </c>
      <c r="D10" s="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172E-CDD6-409E-8D51-24D423895ECE}">
  <dimension ref="A3:D65"/>
  <sheetViews>
    <sheetView workbookViewId="0">
      <selection activeCell="J19" sqref="J19"/>
    </sheetView>
  </sheetViews>
  <sheetFormatPr defaultRowHeight="14.4" x14ac:dyDescent="0.3"/>
  <cols>
    <col min="1" max="1" width="19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9" t="s">
        <v>536</v>
      </c>
      <c r="B3" s="9" t="s">
        <v>537</v>
      </c>
    </row>
    <row r="4" spans="1:4" x14ac:dyDescent="0.3">
      <c r="A4" s="9" t="s">
        <v>534</v>
      </c>
      <c r="B4" t="s">
        <v>15</v>
      </c>
      <c r="C4" t="s">
        <v>23</v>
      </c>
      <c r="D4" t="s">
        <v>535</v>
      </c>
    </row>
    <row r="5" spans="1:4" x14ac:dyDescent="0.3">
      <c r="A5" s="13">
        <v>1</v>
      </c>
      <c r="B5" s="11">
        <v>5</v>
      </c>
      <c r="C5" s="11">
        <v>5</v>
      </c>
      <c r="D5" s="11">
        <v>10</v>
      </c>
    </row>
    <row r="6" spans="1:4" x14ac:dyDescent="0.3">
      <c r="A6" s="13">
        <v>2</v>
      </c>
      <c r="B6" s="11">
        <v>7</v>
      </c>
      <c r="C6" s="11">
        <v>7</v>
      </c>
      <c r="D6" s="11">
        <v>14</v>
      </c>
    </row>
    <row r="7" spans="1:4" x14ac:dyDescent="0.3">
      <c r="A7" s="13">
        <v>3</v>
      </c>
      <c r="B7" s="11">
        <v>8</v>
      </c>
      <c r="C7" s="11">
        <v>3</v>
      </c>
      <c r="D7" s="11">
        <v>11</v>
      </c>
    </row>
    <row r="8" spans="1:4" x14ac:dyDescent="0.3">
      <c r="A8" s="13">
        <v>4</v>
      </c>
      <c r="B8" s="11">
        <v>4</v>
      </c>
      <c r="C8" s="11">
        <v>4</v>
      </c>
      <c r="D8" s="11">
        <v>8</v>
      </c>
    </row>
    <row r="9" spans="1:4" x14ac:dyDescent="0.3">
      <c r="A9" s="13">
        <v>5</v>
      </c>
      <c r="B9" s="11">
        <v>3</v>
      </c>
      <c r="C9" s="11">
        <v>4</v>
      </c>
      <c r="D9" s="11">
        <v>7</v>
      </c>
    </row>
    <row r="10" spans="1:4" x14ac:dyDescent="0.3">
      <c r="A10" s="13">
        <v>6</v>
      </c>
      <c r="B10" s="11">
        <v>4</v>
      </c>
      <c r="C10" s="11">
        <v>3</v>
      </c>
      <c r="D10" s="11">
        <v>7</v>
      </c>
    </row>
    <row r="11" spans="1:4" x14ac:dyDescent="0.3">
      <c r="A11" s="13">
        <v>7</v>
      </c>
      <c r="B11" s="11">
        <v>8</v>
      </c>
      <c r="C11" s="11">
        <v>5</v>
      </c>
      <c r="D11" s="11">
        <v>13</v>
      </c>
    </row>
    <row r="12" spans="1:4" x14ac:dyDescent="0.3">
      <c r="A12" s="13">
        <v>8</v>
      </c>
      <c r="B12" s="11">
        <v>6</v>
      </c>
      <c r="C12" s="11">
        <v>5</v>
      </c>
      <c r="D12" s="11">
        <v>11</v>
      </c>
    </row>
    <row r="13" spans="1:4" x14ac:dyDescent="0.3">
      <c r="A13" s="13">
        <v>9</v>
      </c>
      <c r="B13" s="11">
        <v>2</v>
      </c>
      <c r="C13" s="11">
        <v>4</v>
      </c>
      <c r="D13" s="11">
        <v>6</v>
      </c>
    </row>
    <row r="14" spans="1:4" x14ac:dyDescent="0.3">
      <c r="A14" s="13">
        <v>10</v>
      </c>
      <c r="B14" s="11">
        <v>7</v>
      </c>
      <c r="C14" s="11">
        <v>3</v>
      </c>
      <c r="D14" s="11">
        <v>10</v>
      </c>
    </row>
    <row r="15" spans="1:4" x14ac:dyDescent="0.3">
      <c r="A15" s="13">
        <v>11</v>
      </c>
      <c r="B15" s="11">
        <v>2</v>
      </c>
      <c r="C15" s="11">
        <v>8</v>
      </c>
      <c r="D15" s="11">
        <v>10</v>
      </c>
    </row>
    <row r="16" spans="1:4" x14ac:dyDescent="0.3">
      <c r="A16" s="13">
        <v>12</v>
      </c>
      <c r="B16" s="11">
        <v>2</v>
      </c>
      <c r="C16" s="11">
        <v>3</v>
      </c>
      <c r="D16" s="11">
        <v>5</v>
      </c>
    </row>
    <row r="17" spans="1:4" x14ac:dyDescent="0.3">
      <c r="A17" s="13">
        <v>13</v>
      </c>
      <c r="B17" s="11">
        <v>1</v>
      </c>
      <c r="C17" s="11">
        <v>4</v>
      </c>
      <c r="D17" s="11">
        <v>5</v>
      </c>
    </row>
    <row r="18" spans="1:4" x14ac:dyDescent="0.3">
      <c r="A18" s="13">
        <v>14</v>
      </c>
      <c r="B18" s="11">
        <v>2</v>
      </c>
      <c r="C18" s="11">
        <v>2</v>
      </c>
      <c r="D18" s="11">
        <v>4</v>
      </c>
    </row>
    <row r="19" spans="1:4" x14ac:dyDescent="0.3">
      <c r="A19" s="13">
        <v>15</v>
      </c>
      <c r="B19" s="11">
        <v>7</v>
      </c>
      <c r="C19" s="11">
        <v>3</v>
      </c>
      <c r="D19" s="11">
        <v>10</v>
      </c>
    </row>
    <row r="20" spans="1:4" x14ac:dyDescent="0.3">
      <c r="A20" s="13">
        <v>16</v>
      </c>
      <c r="B20" s="11">
        <v>6</v>
      </c>
      <c r="C20" s="11">
        <v>2</v>
      </c>
      <c r="D20" s="11">
        <v>8</v>
      </c>
    </row>
    <row r="21" spans="1:4" x14ac:dyDescent="0.3">
      <c r="A21" s="13">
        <v>17</v>
      </c>
      <c r="B21" s="11">
        <v>2</v>
      </c>
      <c r="C21" s="11">
        <v>4</v>
      </c>
      <c r="D21" s="11">
        <v>6</v>
      </c>
    </row>
    <row r="22" spans="1:4" x14ac:dyDescent="0.3">
      <c r="A22" s="13">
        <v>18</v>
      </c>
      <c r="B22" s="11">
        <v>7</v>
      </c>
      <c r="C22" s="11">
        <v>1</v>
      </c>
      <c r="D22" s="11">
        <v>8</v>
      </c>
    </row>
    <row r="23" spans="1:4" x14ac:dyDescent="0.3">
      <c r="A23" s="13">
        <v>19</v>
      </c>
      <c r="B23" s="11">
        <v>4</v>
      </c>
      <c r="C23" s="11">
        <v>5</v>
      </c>
      <c r="D23" s="11">
        <v>9</v>
      </c>
    </row>
    <row r="24" spans="1:4" x14ac:dyDescent="0.3">
      <c r="A24" s="13">
        <v>20</v>
      </c>
      <c r="B24" s="11">
        <v>5</v>
      </c>
      <c r="C24" s="11">
        <v>5</v>
      </c>
      <c r="D24" s="11">
        <v>10</v>
      </c>
    </row>
    <row r="25" spans="1:4" x14ac:dyDescent="0.3">
      <c r="A25" s="13">
        <v>21</v>
      </c>
      <c r="B25" s="11">
        <v>4</v>
      </c>
      <c r="C25" s="11">
        <v>6</v>
      </c>
      <c r="D25" s="11">
        <v>10</v>
      </c>
    </row>
    <row r="26" spans="1:4" x14ac:dyDescent="0.3">
      <c r="A26" s="13">
        <v>22</v>
      </c>
      <c r="B26" s="11">
        <v>2</v>
      </c>
      <c r="C26" s="11">
        <v>5</v>
      </c>
      <c r="D26" s="11">
        <v>7</v>
      </c>
    </row>
    <row r="27" spans="1:4" x14ac:dyDescent="0.3">
      <c r="A27" s="13">
        <v>23</v>
      </c>
      <c r="B27" s="11">
        <v>6</v>
      </c>
      <c r="C27" s="11">
        <v>6</v>
      </c>
      <c r="D27" s="11">
        <v>12</v>
      </c>
    </row>
    <row r="28" spans="1:4" x14ac:dyDescent="0.3">
      <c r="A28" s="13">
        <v>24</v>
      </c>
      <c r="B28" s="11">
        <v>6</v>
      </c>
      <c r="C28" s="11">
        <v>2</v>
      </c>
      <c r="D28" s="11">
        <v>8</v>
      </c>
    </row>
    <row r="29" spans="1:4" x14ac:dyDescent="0.3">
      <c r="A29" s="13">
        <v>25</v>
      </c>
      <c r="B29" s="11">
        <v>7</v>
      </c>
      <c r="C29" s="11">
        <v>1</v>
      </c>
      <c r="D29" s="11">
        <v>8</v>
      </c>
    </row>
    <row r="30" spans="1:4" x14ac:dyDescent="0.3">
      <c r="A30" s="13">
        <v>26</v>
      </c>
      <c r="B30" s="11">
        <v>4</v>
      </c>
      <c r="C30" s="11">
        <v>3</v>
      </c>
      <c r="D30" s="11">
        <v>7</v>
      </c>
    </row>
    <row r="31" spans="1:4" x14ac:dyDescent="0.3">
      <c r="A31" s="13">
        <v>27</v>
      </c>
      <c r="B31" s="11">
        <v>3</v>
      </c>
      <c r="C31" s="11">
        <v>2</v>
      </c>
      <c r="D31" s="11">
        <v>5</v>
      </c>
    </row>
    <row r="32" spans="1:4" x14ac:dyDescent="0.3">
      <c r="A32" s="13">
        <v>28</v>
      </c>
      <c r="B32" s="11">
        <v>4</v>
      </c>
      <c r="C32" s="11">
        <v>2</v>
      </c>
      <c r="D32" s="11">
        <v>6</v>
      </c>
    </row>
    <row r="33" spans="1:4" x14ac:dyDescent="0.3">
      <c r="A33" s="13">
        <v>29</v>
      </c>
      <c r="B33" s="11">
        <v>7</v>
      </c>
      <c r="C33" s="11">
        <v>2</v>
      </c>
      <c r="D33" s="11">
        <v>9</v>
      </c>
    </row>
    <row r="34" spans="1:4" x14ac:dyDescent="0.3">
      <c r="A34" s="13">
        <v>30</v>
      </c>
      <c r="B34" s="11">
        <v>5</v>
      </c>
      <c r="C34" s="11">
        <v>4</v>
      </c>
      <c r="D34" s="11">
        <v>9</v>
      </c>
    </row>
    <row r="35" spans="1:4" x14ac:dyDescent="0.3">
      <c r="A35" s="13">
        <v>31</v>
      </c>
      <c r="B35" s="11">
        <v>5</v>
      </c>
      <c r="C35" s="11">
        <v>1</v>
      </c>
      <c r="D35" s="11">
        <v>6</v>
      </c>
    </row>
    <row r="36" spans="1:4" x14ac:dyDescent="0.3">
      <c r="A36" s="13">
        <v>32</v>
      </c>
      <c r="B36" s="11">
        <v>5</v>
      </c>
      <c r="C36" s="11">
        <v>4</v>
      </c>
      <c r="D36" s="11">
        <v>9</v>
      </c>
    </row>
    <row r="37" spans="1:4" x14ac:dyDescent="0.3">
      <c r="A37" s="13">
        <v>33</v>
      </c>
      <c r="B37" s="11">
        <v>5</v>
      </c>
      <c r="C37" s="11">
        <v>2</v>
      </c>
      <c r="D37" s="11">
        <v>7</v>
      </c>
    </row>
    <row r="38" spans="1:4" x14ac:dyDescent="0.3">
      <c r="A38" s="13">
        <v>34</v>
      </c>
      <c r="B38" s="11">
        <v>5</v>
      </c>
      <c r="C38" s="11">
        <v>5</v>
      </c>
      <c r="D38" s="11">
        <v>10</v>
      </c>
    </row>
    <row r="39" spans="1:4" x14ac:dyDescent="0.3">
      <c r="A39" s="13">
        <v>35</v>
      </c>
      <c r="B39" s="11">
        <v>3</v>
      </c>
      <c r="C39" s="11"/>
      <c r="D39" s="11">
        <v>3</v>
      </c>
    </row>
    <row r="40" spans="1:4" x14ac:dyDescent="0.3">
      <c r="A40" s="13">
        <v>36</v>
      </c>
      <c r="B40" s="11">
        <v>12</v>
      </c>
      <c r="C40" s="11"/>
      <c r="D40" s="11">
        <v>12</v>
      </c>
    </row>
    <row r="41" spans="1:4" x14ac:dyDescent="0.3">
      <c r="A41" s="13">
        <v>37</v>
      </c>
      <c r="B41" s="11">
        <v>6</v>
      </c>
      <c r="C41" s="11">
        <v>2</v>
      </c>
      <c r="D41" s="11">
        <v>8</v>
      </c>
    </row>
    <row r="42" spans="1:4" x14ac:dyDescent="0.3">
      <c r="A42" s="13">
        <v>38</v>
      </c>
      <c r="B42" s="11">
        <v>7</v>
      </c>
      <c r="C42" s="11">
        <v>4</v>
      </c>
      <c r="D42" s="11">
        <v>11</v>
      </c>
    </row>
    <row r="43" spans="1:4" x14ac:dyDescent="0.3">
      <c r="A43" s="13">
        <v>39</v>
      </c>
      <c r="B43" s="11">
        <v>4</v>
      </c>
      <c r="C43" s="11">
        <v>3</v>
      </c>
      <c r="D43" s="11">
        <v>7</v>
      </c>
    </row>
    <row r="44" spans="1:4" x14ac:dyDescent="0.3">
      <c r="A44" s="13">
        <v>40</v>
      </c>
      <c r="B44" s="11">
        <v>10</v>
      </c>
      <c r="C44" s="11">
        <v>5</v>
      </c>
      <c r="D44" s="11">
        <v>15</v>
      </c>
    </row>
    <row r="45" spans="1:4" x14ac:dyDescent="0.3">
      <c r="A45" s="13">
        <v>41</v>
      </c>
      <c r="B45" s="11"/>
      <c r="C45" s="11">
        <v>1</v>
      </c>
      <c r="D45" s="11">
        <v>1</v>
      </c>
    </row>
    <row r="46" spans="1:4" x14ac:dyDescent="0.3">
      <c r="A46" s="13">
        <v>42</v>
      </c>
      <c r="B46" s="11">
        <v>6</v>
      </c>
      <c r="C46" s="11">
        <v>3</v>
      </c>
      <c r="D46" s="11">
        <v>9</v>
      </c>
    </row>
    <row r="47" spans="1:4" x14ac:dyDescent="0.3">
      <c r="A47" s="13">
        <v>43</v>
      </c>
      <c r="B47" s="11">
        <v>5</v>
      </c>
      <c r="C47" s="11">
        <v>1</v>
      </c>
      <c r="D47" s="11">
        <v>6</v>
      </c>
    </row>
    <row r="48" spans="1:4" x14ac:dyDescent="0.3">
      <c r="A48" s="13">
        <v>44</v>
      </c>
      <c r="B48" s="11">
        <v>5</v>
      </c>
      <c r="C48" s="11">
        <v>4</v>
      </c>
      <c r="D48" s="11">
        <v>9</v>
      </c>
    </row>
    <row r="49" spans="1:4" x14ac:dyDescent="0.3">
      <c r="A49" s="13">
        <v>45</v>
      </c>
      <c r="B49" s="11">
        <v>6</v>
      </c>
      <c r="C49" s="11">
        <v>5</v>
      </c>
      <c r="D49" s="11">
        <v>11</v>
      </c>
    </row>
    <row r="50" spans="1:4" x14ac:dyDescent="0.3">
      <c r="A50" s="13">
        <v>46</v>
      </c>
      <c r="B50" s="11">
        <v>6</v>
      </c>
      <c r="C50" s="11">
        <v>4</v>
      </c>
      <c r="D50" s="11">
        <v>10</v>
      </c>
    </row>
    <row r="51" spans="1:4" x14ac:dyDescent="0.3">
      <c r="A51" s="13">
        <v>47</v>
      </c>
      <c r="B51" s="11">
        <v>5</v>
      </c>
      <c r="C51" s="11">
        <v>3</v>
      </c>
      <c r="D51" s="11">
        <v>8</v>
      </c>
    </row>
    <row r="52" spans="1:4" x14ac:dyDescent="0.3">
      <c r="A52" s="13">
        <v>48</v>
      </c>
      <c r="B52" s="11">
        <v>3</v>
      </c>
      <c r="C52" s="11"/>
      <c r="D52" s="11">
        <v>3</v>
      </c>
    </row>
    <row r="53" spans="1:4" x14ac:dyDescent="0.3">
      <c r="A53" s="13">
        <v>49</v>
      </c>
      <c r="B53" s="11">
        <v>11</v>
      </c>
      <c r="C53" s="11">
        <v>4</v>
      </c>
      <c r="D53" s="11">
        <v>15</v>
      </c>
    </row>
    <row r="54" spans="1:4" x14ac:dyDescent="0.3">
      <c r="A54" s="13">
        <v>50</v>
      </c>
      <c r="B54" s="11">
        <v>2</v>
      </c>
      <c r="C54" s="11">
        <v>4</v>
      </c>
      <c r="D54" s="11">
        <v>6</v>
      </c>
    </row>
    <row r="55" spans="1:4" x14ac:dyDescent="0.3">
      <c r="A55" s="13">
        <v>51</v>
      </c>
      <c r="B55" s="11">
        <v>5</v>
      </c>
      <c r="C55" s="11">
        <v>5</v>
      </c>
      <c r="D55" s="11">
        <v>10</v>
      </c>
    </row>
    <row r="56" spans="1:4" x14ac:dyDescent="0.3">
      <c r="A56" s="13">
        <v>52</v>
      </c>
      <c r="B56" s="11">
        <v>7</v>
      </c>
      <c r="C56" s="11">
        <v>2</v>
      </c>
      <c r="D56" s="11">
        <v>9</v>
      </c>
    </row>
    <row r="57" spans="1:4" x14ac:dyDescent="0.3">
      <c r="A57" s="13">
        <v>53</v>
      </c>
      <c r="B57" s="11">
        <v>5</v>
      </c>
      <c r="C57" s="11">
        <v>3</v>
      </c>
      <c r="D57" s="11">
        <v>8</v>
      </c>
    </row>
    <row r="58" spans="1:4" x14ac:dyDescent="0.3">
      <c r="A58" s="13">
        <v>54</v>
      </c>
      <c r="B58" s="11">
        <v>3</v>
      </c>
      <c r="C58" s="11">
        <v>1</v>
      </c>
      <c r="D58" s="11">
        <v>4</v>
      </c>
    </row>
    <row r="59" spans="1:4" x14ac:dyDescent="0.3">
      <c r="A59" s="13">
        <v>55</v>
      </c>
      <c r="B59" s="11">
        <v>5</v>
      </c>
      <c r="C59" s="11">
        <v>5</v>
      </c>
      <c r="D59" s="11">
        <v>10</v>
      </c>
    </row>
    <row r="60" spans="1:4" x14ac:dyDescent="0.3">
      <c r="A60" s="13">
        <v>56</v>
      </c>
      <c r="B60" s="11">
        <v>3</v>
      </c>
      <c r="C60" s="11">
        <v>3</v>
      </c>
      <c r="D60" s="11">
        <v>6</v>
      </c>
    </row>
    <row r="61" spans="1:4" x14ac:dyDescent="0.3">
      <c r="A61" s="13">
        <v>57</v>
      </c>
      <c r="B61" s="11">
        <v>4</v>
      </c>
      <c r="C61" s="11">
        <v>5</v>
      </c>
      <c r="D61" s="11">
        <v>9</v>
      </c>
    </row>
    <row r="62" spans="1:4" x14ac:dyDescent="0.3">
      <c r="A62" s="13">
        <v>58</v>
      </c>
      <c r="B62" s="11">
        <v>4</v>
      </c>
      <c r="C62" s="11">
        <v>4</v>
      </c>
      <c r="D62" s="11">
        <v>8</v>
      </c>
    </row>
    <row r="63" spans="1:4" x14ac:dyDescent="0.3">
      <c r="A63" s="13">
        <v>59</v>
      </c>
      <c r="B63" s="11">
        <v>5</v>
      </c>
      <c r="C63" s="11">
        <v>3</v>
      </c>
      <c r="D63" s="11">
        <v>8</v>
      </c>
    </row>
    <row r="64" spans="1:4" x14ac:dyDescent="0.3">
      <c r="A64" s="13">
        <v>60</v>
      </c>
      <c r="B64" s="11">
        <v>6</v>
      </c>
      <c r="C64" s="11">
        <v>3</v>
      </c>
      <c r="D64" s="11">
        <v>9</v>
      </c>
    </row>
    <row r="65" spans="1:4" x14ac:dyDescent="0.3">
      <c r="A65" s="13" t="s">
        <v>535</v>
      </c>
      <c r="B65" s="11">
        <v>298</v>
      </c>
      <c r="C65" s="11">
        <v>202</v>
      </c>
      <c r="D65" s="11">
        <v>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9C9A-23B3-468B-83D2-43033D620B32}">
  <dimension ref="A3:D201"/>
  <sheetViews>
    <sheetView workbookViewId="0">
      <selection activeCell="B17" sqref="B17"/>
    </sheetView>
  </sheetViews>
  <sheetFormatPr defaultRowHeight="14.4" x14ac:dyDescent="0.3"/>
  <cols>
    <col min="1" max="1" width="19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9" t="s">
        <v>536</v>
      </c>
      <c r="B3" s="9" t="s">
        <v>537</v>
      </c>
    </row>
    <row r="4" spans="1:4" x14ac:dyDescent="0.3">
      <c r="A4" s="9" t="s">
        <v>534</v>
      </c>
      <c r="B4" t="s">
        <v>15</v>
      </c>
      <c r="C4" t="s">
        <v>23</v>
      </c>
      <c r="D4" t="s">
        <v>535</v>
      </c>
    </row>
    <row r="5" spans="1:4" x14ac:dyDescent="0.3">
      <c r="A5" s="14" t="s">
        <v>544</v>
      </c>
      <c r="B5" s="11">
        <v>3</v>
      </c>
      <c r="C5" s="11">
        <v>1</v>
      </c>
      <c r="D5" s="11">
        <v>4</v>
      </c>
    </row>
    <row r="6" spans="1:4" x14ac:dyDescent="0.3">
      <c r="A6" s="14" t="s">
        <v>545</v>
      </c>
      <c r="B6" s="11">
        <v>2</v>
      </c>
      <c r="C6" s="11"/>
      <c r="D6" s="11">
        <v>2</v>
      </c>
    </row>
    <row r="7" spans="1:4" x14ac:dyDescent="0.3">
      <c r="A7" s="14" t="s">
        <v>546</v>
      </c>
      <c r="B7" s="11">
        <v>1</v>
      </c>
      <c r="C7" s="11">
        <v>1</v>
      </c>
      <c r="D7" s="11">
        <v>2</v>
      </c>
    </row>
    <row r="8" spans="1:4" x14ac:dyDescent="0.3">
      <c r="A8" s="14" t="s">
        <v>547</v>
      </c>
      <c r="B8" s="11"/>
      <c r="C8" s="11">
        <v>1</v>
      </c>
      <c r="D8" s="11">
        <v>1</v>
      </c>
    </row>
    <row r="9" spans="1:4" x14ac:dyDescent="0.3">
      <c r="A9" s="14" t="s">
        <v>548</v>
      </c>
      <c r="B9" s="11">
        <v>1</v>
      </c>
      <c r="C9" s="11">
        <v>1</v>
      </c>
      <c r="D9" s="11">
        <v>2</v>
      </c>
    </row>
    <row r="10" spans="1:4" x14ac:dyDescent="0.3">
      <c r="A10" s="14" t="s">
        <v>549</v>
      </c>
      <c r="B10" s="11">
        <v>1</v>
      </c>
      <c r="C10" s="11">
        <v>3</v>
      </c>
      <c r="D10" s="11">
        <v>4</v>
      </c>
    </row>
    <row r="11" spans="1:4" x14ac:dyDescent="0.3">
      <c r="A11" s="14" t="s">
        <v>550</v>
      </c>
      <c r="B11" s="11">
        <v>2</v>
      </c>
      <c r="C11" s="11">
        <v>4</v>
      </c>
      <c r="D11" s="11">
        <v>6</v>
      </c>
    </row>
    <row r="12" spans="1:4" x14ac:dyDescent="0.3">
      <c r="A12" s="14" t="s">
        <v>551</v>
      </c>
      <c r="B12" s="11">
        <v>1</v>
      </c>
      <c r="C12" s="11">
        <v>1</v>
      </c>
      <c r="D12" s="11">
        <v>2</v>
      </c>
    </row>
    <row r="13" spans="1:4" x14ac:dyDescent="0.3">
      <c r="A13" s="14" t="s">
        <v>552</v>
      </c>
      <c r="B13" s="11">
        <v>1</v>
      </c>
      <c r="C13" s="11">
        <v>1</v>
      </c>
      <c r="D13" s="11">
        <v>2</v>
      </c>
    </row>
    <row r="14" spans="1:4" x14ac:dyDescent="0.3">
      <c r="A14" s="14" t="s">
        <v>553</v>
      </c>
      <c r="B14" s="11">
        <v>2</v>
      </c>
      <c r="C14" s="11"/>
      <c r="D14" s="11">
        <v>2</v>
      </c>
    </row>
    <row r="15" spans="1:4" x14ac:dyDescent="0.3">
      <c r="A15" s="14" t="s">
        <v>554</v>
      </c>
      <c r="B15" s="11"/>
      <c r="C15" s="11">
        <v>1</v>
      </c>
      <c r="D15" s="11">
        <v>1</v>
      </c>
    </row>
    <row r="16" spans="1:4" x14ac:dyDescent="0.3">
      <c r="A16" s="14" t="s">
        <v>555</v>
      </c>
      <c r="B16" s="11">
        <v>4</v>
      </c>
      <c r="C16" s="11"/>
      <c r="D16" s="11">
        <v>4</v>
      </c>
    </row>
    <row r="17" spans="1:4" x14ac:dyDescent="0.3">
      <c r="A17" s="14" t="s">
        <v>556</v>
      </c>
      <c r="B17" s="11">
        <v>1</v>
      </c>
      <c r="C17" s="11">
        <v>1</v>
      </c>
      <c r="D17" s="11">
        <v>2</v>
      </c>
    </row>
    <row r="18" spans="1:4" x14ac:dyDescent="0.3">
      <c r="A18" s="14" t="s">
        <v>557</v>
      </c>
      <c r="B18" s="11">
        <v>3</v>
      </c>
      <c r="C18" s="11">
        <v>1</v>
      </c>
      <c r="D18" s="11">
        <v>4</v>
      </c>
    </row>
    <row r="19" spans="1:4" x14ac:dyDescent="0.3">
      <c r="A19" s="14" t="s">
        <v>558</v>
      </c>
      <c r="B19" s="11">
        <v>2</v>
      </c>
      <c r="C19" s="11">
        <v>1</v>
      </c>
      <c r="D19" s="11">
        <v>3</v>
      </c>
    </row>
    <row r="20" spans="1:4" x14ac:dyDescent="0.3">
      <c r="A20" s="14" t="s">
        <v>559</v>
      </c>
      <c r="B20" s="11"/>
      <c r="C20" s="11">
        <v>1</v>
      </c>
      <c r="D20" s="11">
        <v>1</v>
      </c>
    </row>
    <row r="21" spans="1:4" x14ac:dyDescent="0.3">
      <c r="A21" s="14" t="s">
        <v>560</v>
      </c>
      <c r="B21" s="11">
        <v>1</v>
      </c>
      <c r="C21" s="11">
        <v>2</v>
      </c>
      <c r="D21" s="11">
        <v>3</v>
      </c>
    </row>
    <row r="22" spans="1:4" x14ac:dyDescent="0.3">
      <c r="A22" s="14" t="s">
        <v>561</v>
      </c>
      <c r="B22" s="11">
        <v>2</v>
      </c>
      <c r="C22" s="11">
        <v>1</v>
      </c>
      <c r="D22" s="11">
        <v>3</v>
      </c>
    </row>
    <row r="23" spans="1:4" x14ac:dyDescent="0.3">
      <c r="A23" s="14" t="s">
        <v>562</v>
      </c>
      <c r="B23" s="11">
        <v>2</v>
      </c>
      <c r="C23" s="11">
        <v>3</v>
      </c>
      <c r="D23" s="11">
        <v>5</v>
      </c>
    </row>
    <row r="24" spans="1:4" x14ac:dyDescent="0.3">
      <c r="A24" s="14" t="s">
        <v>563</v>
      </c>
      <c r="B24" s="11"/>
      <c r="C24" s="11">
        <v>3</v>
      </c>
      <c r="D24" s="11">
        <v>3</v>
      </c>
    </row>
    <row r="25" spans="1:4" x14ac:dyDescent="0.3">
      <c r="A25" s="14" t="s">
        <v>564</v>
      </c>
      <c r="B25" s="11">
        <v>1</v>
      </c>
      <c r="C25" s="11">
        <v>1</v>
      </c>
      <c r="D25" s="11">
        <v>2</v>
      </c>
    </row>
    <row r="26" spans="1:4" x14ac:dyDescent="0.3">
      <c r="A26" s="14" t="s">
        <v>565</v>
      </c>
      <c r="B26" s="11">
        <v>3</v>
      </c>
      <c r="C26" s="11"/>
      <c r="D26" s="11">
        <v>3</v>
      </c>
    </row>
    <row r="27" spans="1:4" x14ac:dyDescent="0.3">
      <c r="A27" s="14" t="s">
        <v>566</v>
      </c>
      <c r="B27" s="11">
        <v>5</v>
      </c>
      <c r="C27" s="11">
        <v>2</v>
      </c>
      <c r="D27" s="11">
        <v>7</v>
      </c>
    </row>
    <row r="28" spans="1:4" x14ac:dyDescent="0.3">
      <c r="A28" s="14" t="s">
        <v>567</v>
      </c>
      <c r="B28" s="11">
        <v>3</v>
      </c>
      <c r="C28" s="11">
        <v>1</v>
      </c>
      <c r="D28" s="11">
        <v>4</v>
      </c>
    </row>
    <row r="29" spans="1:4" x14ac:dyDescent="0.3">
      <c r="A29" s="14" t="s">
        <v>568</v>
      </c>
      <c r="B29" s="11">
        <v>3</v>
      </c>
      <c r="C29" s="11">
        <v>1</v>
      </c>
      <c r="D29" s="11">
        <v>4</v>
      </c>
    </row>
    <row r="30" spans="1:4" x14ac:dyDescent="0.3">
      <c r="A30" s="14" t="s">
        <v>569</v>
      </c>
      <c r="B30" s="11">
        <v>4</v>
      </c>
      <c r="C30" s="11">
        <v>3</v>
      </c>
      <c r="D30" s="11">
        <v>7</v>
      </c>
    </row>
    <row r="31" spans="1:4" x14ac:dyDescent="0.3">
      <c r="A31" s="14" t="s">
        <v>570</v>
      </c>
      <c r="B31" s="11">
        <v>2</v>
      </c>
      <c r="C31" s="11">
        <v>2</v>
      </c>
      <c r="D31" s="11">
        <v>4</v>
      </c>
    </row>
    <row r="32" spans="1:4" x14ac:dyDescent="0.3">
      <c r="A32" s="14" t="s">
        <v>571</v>
      </c>
      <c r="B32" s="11">
        <v>1</v>
      </c>
      <c r="C32" s="11"/>
      <c r="D32" s="11">
        <v>1</v>
      </c>
    </row>
    <row r="33" spans="1:4" x14ac:dyDescent="0.3">
      <c r="A33" s="14" t="s">
        <v>572</v>
      </c>
      <c r="B33" s="11"/>
      <c r="C33" s="11">
        <v>1</v>
      </c>
      <c r="D33" s="11">
        <v>1</v>
      </c>
    </row>
    <row r="34" spans="1:4" x14ac:dyDescent="0.3">
      <c r="A34" s="14" t="s">
        <v>573</v>
      </c>
      <c r="B34" s="11">
        <v>2</v>
      </c>
      <c r="C34" s="11"/>
      <c r="D34" s="11">
        <v>2</v>
      </c>
    </row>
    <row r="35" spans="1:4" x14ac:dyDescent="0.3">
      <c r="A35" s="14" t="s">
        <v>574</v>
      </c>
      <c r="B35" s="11">
        <v>2</v>
      </c>
      <c r="C35" s="11">
        <v>1</v>
      </c>
      <c r="D35" s="11">
        <v>3</v>
      </c>
    </row>
    <row r="36" spans="1:4" x14ac:dyDescent="0.3">
      <c r="A36" s="14" t="s">
        <v>575</v>
      </c>
      <c r="B36" s="11">
        <v>2</v>
      </c>
      <c r="C36" s="11">
        <v>2</v>
      </c>
      <c r="D36" s="11">
        <v>4</v>
      </c>
    </row>
    <row r="37" spans="1:4" x14ac:dyDescent="0.3">
      <c r="A37" s="14" t="s">
        <v>576</v>
      </c>
      <c r="B37" s="11">
        <v>3</v>
      </c>
      <c r="C37" s="11">
        <v>1</v>
      </c>
      <c r="D37" s="11">
        <v>4</v>
      </c>
    </row>
    <row r="38" spans="1:4" x14ac:dyDescent="0.3">
      <c r="A38" s="14" t="s">
        <v>577</v>
      </c>
      <c r="B38" s="11">
        <v>2</v>
      </c>
      <c r="C38" s="11"/>
      <c r="D38" s="11">
        <v>2</v>
      </c>
    </row>
    <row r="39" spans="1:4" x14ac:dyDescent="0.3">
      <c r="A39" s="14" t="s">
        <v>578</v>
      </c>
      <c r="B39" s="11"/>
      <c r="C39" s="11">
        <v>2</v>
      </c>
      <c r="D39" s="11">
        <v>2</v>
      </c>
    </row>
    <row r="40" spans="1:4" x14ac:dyDescent="0.3">
      <c r="A40" s="14" t="s">
        <v>579</v>
      </c>
      <c r="B40" s="11">
        <v>3</v>
      </c>
      <c r="C40" s="11"/>
      <c r="D40" s="11">
        <v>3</v>
      </c>
    </row>
    <row r="41" spans="1:4" x14ac:dyDescent="0.3">
      <c r="A41" s="14" t="s">
        <v>580</v>
      </c>
      <c r="B41" s="11">
        <v>2</v>
      </c>
      <c r="C41" s="11">
        <v>1</v>
      </c>
      <c r="D41" s="11">
        <v>3</v>
      </c>
    </row>
    <row r="42" spans="1:4" x14ac:dyDescent="0.3">
      <c r="A42" s="14" t="s">
        <v>581</v>
      </c>
      <c r="B42" s="11"/>
      <c r="C42" s="11">
        <v>1</v>
      </c>
      <c r="D42" s="11">
        <v>1</v>
      </c>
    </row>
    <row r="43" spans="1:4" x14ac:dyDescent="0.3">
      <c r="A43" s="14" t="s">
        <v>582</v>
      </c>
      <c r="B43" s="11">
        <v>1</v>
      </c>
      <c r="C43" s="11">
        <v>1</v>
      </c>
      <c r="D43" s="11">
        <v>2</v>
      </c>
    </row>
    <row r="44" spans="1:4" x14ac:dyDescent="0.3">
      <c r="A44" s="14" t="s">
        <v>583</v>
      </c>
      <c r="B44" s="11"/>
      <c r="C44" s="11">
        <v>1</v>
      </c>
      <c r="D44" s="11">
        <v>1</v>
      </c>
    </row>
    <row r="45" spans="1:4" x14ac:dyDescent="0.3">
      <c r="A45" s="14" t="s">
        <v>584</v>
      </c>
      <c r="B45" s="11">
        <v>1</v>
      </c>
      <c r="C45" s="11"/>
      <c r="D45" s="11">
        <v>1</v>
      </c>
    </row>
    <row r="46" spans="1:4" x14ac:dyDescent="0.3">
      <c r="A46" s="14" t="s">
        <v>585</v>
      </c>
      <c r="B46" s="11">
        <v>1</v>
      </c>
      <c r="C46" s="11">
        <v>1</v>
      </c>
      <c r="D46" s="11">
        <v>2</v>
      </c>
    </row>
    <row r="47" spans="1:4" x14ac:dyDescent="0.3">
      <c r="A47" s="14" t="s">
        <v>586</v>
      </c>
      <c r="B47" s="11">
        <v>2</v>
      </c>
      <c r="C47" s="11"/>
      <c r="D47" s="11">
        <v>2</v>
      </c>
    </row>
    <row r="48" spans="1:4" x14ac:dyDescent="0.3">
      <c r="A48" s="14" t="s">
        <v>587</v>
      </c>
      <c r="B48" s="11"/>
      <c r="C48" s="11">
        <v>1</v>
      </c>
      <c r="D48" s="11">
        <v>1</v>
      </c>
    </row>
    <row r="49" spans="1:4" x14ac:dyDescent="0.3">
      <c r="A49" s="14" t="s">
        <v>588</v>
      </c>
      <c r="B49" s="11">
        <v>2</v>
      </c>
      <c r="C49" s="11"/>
      <c r="D49" s="11">
        <v>2</v>
      </c>
    </row>
    <row r="50" spans="1:4" x14ac:dyDescent="0.3">
      <c r="A50" s="14" t="s">
        <v>589</v>
      </c>
      <c r="B50" s="11">
        <v>1</v>
      </c>
      <c r="C50" s="11">
        <v>3</v>
      </c>
      <c r="D50" s="11">
        <v>4</v>
      </c>
    </row>
    <row r="51" spans="1:4" x14ac:dyDescent="0.3">
      <c r="A51" s="14" t="s">
        <v>590</v>
      </c>
      <c r="B51" s="11">
        <v>4</v>
      </c>
      <c r="C51" s="11">
        <v>1</v>
      </c>
      <c r="D51" s="11">
        <v>5</v>
      </c>
    </row>
    <row r="52" spans="1:4" x14ac:dyDescent="0.3">
      <c r="A52" s="14" t="s">
        <v>591</v>
      </c>
      <c r="B52" s="11">
        <v>5</v>
      </c>
      <c r="C52" s="11">
        <v>2</v>
      </c>
      <c r="D52" s="11">
        <v>7</v>
      </c>
    </row>
    <row r="53" spans="1:4" x14ac:dyDescent="0.3">
      <c r="A53" s="14" t="s">
        <v>592</v>
      </c>
      <c r="B53" s="11">
        <v>1</v>
      </c>
      <c r="C53" s="11">
        <v>1</v>
      </c>
      <c r="D53" s="11">
        <v>2</v>
      </c>
    </row>
    <row r="54" spans="1:4" x14ac:dyDescent="0.3">
      <c r="A54" s="14" t="s">
        <v>593</v>
      </c>
      <c r="B54" s="11">
        <v>2</v>
      </c>
      <c r="C54" s="11">
        <v>1</v>
      </c>
      <c r="D54" s="11">
        <v>3</v>
      </c>
    </row>
    <row r="55" spans="1:4" x14ac:dyDescent="0.3">
      <c r="A55" s="14" t="s">
        <v>594</v>
      </c>
      <c r="B55" s="11">
        <v>3</v>
      </c>
      <c r="C55" s="11">
        <v>1</v>
      </c>
      <c r="D55" s="11">
        <v>4</v>
      </c>
    </row>
    <row r="56" spans="1:4" x14ac:dyDescent="0.3">
      <c r="A56" s="14" t="s">
        <v>595</v>
      </c>
      <c r="B56" s="11">
        <v>2</v>
      </c>
      <c r="C56" s="11"/>
      <c r="D56" s="11">
        <v>2</v>
      </c>
    </row>
    <row r="57" spans="1:4" x14ac:dyDescent="0.3">
      <c r="A57" s="14" t="s">
        <v>596</v>
      </c>
      <c r="B57" s="11">
        <v>2</v>
      </c>
      <c r="C57" s="11">
        <v>1</v>
      </c>
      <c r="D57" s="11">
        <v>3</v>
      </c>
    </row>
    <row r="58" spans="1:4" x14ac:dyDescent="0.3">
      <c r="A58" s="14" t="s">
        <v>597</v>
      </c>
      <c r="B58" s="11"/>
      <c r="C58" s="11">
        <v>1</v>
      </c>
      <c r="D58" s="11">
        <v>1</v>
      </c>
    </row>
    <row r="59" spans="1:4" x14ac:dyDescent="0.3">
      <c r="A59" s="14" t="s">
        <v>598</v>
      </c>
      <c r="B59" s="11">
        <v>2</v>
      </c>
      <c r="C59" s="11">
        <v>1</v>
      </c>
      <c r="D59" s="11">
        <v>3</v>
      </c>
    </row>
    <row r="60" spans="1:4" x14ac:dyDescent="0.3">
      <c r="A60" s="14" t="s">
        <v>599</v>
      </c>
      <c r="B60" s="11">
        <v>2</v>
      </c>
      <c r="C60" s="11">
        <v>1</v>
      </c>
      <c r="D60" s="11">
        <v>3</v>
      </c>
    </row>
    <row r="61" spans="1:4" x14ac:dyDescent="0.3">
      <c r="A61" s="14" t="s">
        <v>600</v>
      </c>
      <c r="B61" s="11"/>
      <c r="C61" s="11">
        <v>1</v>
      </c>
      <c r="D61" s="11">
        <v>1</v>
      </c>
    </row>
    <row r="62" spans="1:4" x14ac:dyDescent="0.3">
      <c r="A62" s="14" t="s">
        <v>601</v>
      </c>
      <c r="B62" s="11">
        <v>1</v>
      </c>
      <c r="C62" s="11"/>
      <c r="D62" s="11">
        <v>1</v>
      </c>
    </row>
    <row r="63" spans="1:4" x14ac:dyDescent="0.3">
      <c r="A63" s="14" t="s">
        <v>602</v>
      </c>
      <c r="B63" s="11"/>
      <c r="C63" s="11">
        <v>1</v>
      </c>
      <c r="D63" s="11">
        <v>1</v>
      </c>
    </row>
    <row r="64" spans="1:4" x14ac:dyDescent="0.3">
      <c r="A64" s="14" t="s">
        <v>603</v>
      </c>
      <c r="B64" s="11"/>
      <c r="C64" s="11">
        <v>1</v>
      </c>
      <c r="D64" s="11">
        <v>1</v>
      </c>
    </row>
    <row r="65" spans="1:4" x14ac:dyDescent="0.3">
      <c r="A65" s="14" t="s">
        <v>604</v>
      </c>
      <c r="B65" s="11">
        <v>1</v>
      </c>
      <c r="C65" s="11"/>
      <c r="D65" s="11">
        <v>1</v>
      </c>
    </row>
    <row r="66" spans="1:4" x14ac:dyDescent="0.3">
      <c r="A66" s="14" t="s">
        <v>605</v>
      </c>
      <c r="B66" s="11">
        <v>4</v>
      </c>
      <c r="C66" s="11"/>
      <c r="D66" s="11">
        <v>4</v>
      </c>
    </row>
    <row r="67" spans="1:4" x14ac:dyDescent="0.3">
      <c r="A67" s="14" t="s">
        <v>606</v>
      </c>
      <c r="B67" s="11">
        <v>1</v>
      </c>
      <c r="C67" s="11"/>
      <c r="D67" s="11">
        <v>1</v>
      </c>
    </row>
    <row r="68" spans="1:4" x14ac:dyDescent="0.3">
      <c r="A68" s="14" t="s">
        <v>607</v>
      </c>
      <c r="B68" s="11">
        <v>2</v>
      </c>
      <c r="C68" s="11"/>
      <c r="D68" s="11">
        <v>2</v>
      </c>
    </row>
    <row r="69" spans="1:4" x14ac:dyDescent="0.3">
      <c r="A69" s="14" t="s">
        <v>608</v>
      </c>
      <c r="B69" s="11">
        <v>1</v>
      </c>
      <c r="C69" s="11"/>
      <c r="D69" s="11">
        <v>1</v>
      </c>
    </row>
    <row r="70" spans="1:4" x14ac:dyDescent="0.3">
      <c r="A70" s="14" t="s">
        <v>609</v>
      </c>
      <c r="B70" s="11"/>
      <c r="C70" s="11">
        <v>2</v>
      </c>
      <c r="D70" s="11">
        <v>2</v>
      </c>
    </row>
    <row r="71" spans="1:4" x14ac:dyDescent="0.3">
      <c r="A71" s="14" t="s">
        <v>610</v>
      </c>
      <c r="B71" s="11">
        <v>1</v>
      </c>
      <c r="C71" s="11">
        <v>1</v>
      </c>
      <c r="D71" s="11">
        <v>2</v>
      </c>
    </row>
    <row r="72" spans="1:4" x14ac:dyDescent="0.3">
      <c r="A72" s="14" t="s">
        <v>611</v>
      </c>
      <c r="B72" s="11">
        <v>3</v>
      </c>
      <c r="C72" s="11"/>
      <c r="D72" s="11">
        <v>3</v>
      </c>
    </row>
    <row r="73" spans="1:4" x14ac:dyDescent="0.3">
      <c r="A73" s="14" t="s">
        <v>612</v>
      </c>
      <c r="B73" s="11"/>
      <c r="C73" s="11">
        <v>1</v>
      </c>
      <c r="D73" s="11">
        <v>1</v>
      </c>
    </row>
    <row r="74" spans="1:4" x14ac:dyDescent="0.3">
      <c r="A74" s="14" t="s">
        <v>613</v>
      </c>
      <c r="B74" s="11">
        <v>1</v>
      </c>
      <c r="C74" s="11">
        <v>1</v>
      </c>
      <c r="D74" s="11">
        <v>2</v>
      </c>
    </row>
    <row r="75" spans="1:4" x14ac:dyDescent="0.3">
      <c r="A75" s="14" t="s">
        <v>614</v>
      </c>
      <c r="B75" s="11">
        <v>1</v>
      </c>
      <c r="C75" s="11">
        <v>1</v>
      </c>
      <c r="D75" s="11">
        <v>2</v>
      </c>
    </row>
    <row r="76" spans="1:4" x14ac:dyDescent="0.3">
      <c r="A76" s="14" t="s">
        <v>615</v>
      </c>
      <c r="B76" s="11">
        <v>2</v>
      </c>
      <c r="C76" s="11"/>
      <c r="D76" s="11">
        <v>2</v>
      </c>
    </row>
    <row r="77" spans="1:4" x14ac:dyDescent="0.3">
      <c r="A77" s="14" t="s">
        <v>616</v>
      </c>
      <c r="B77" s="11">
        <v>2</v>
      </c>
      <c r="C77" s="11">
        <v>1</v>
      </c>
      <c r="D77" s="11">
        <v>3</v>
      </c>
    </row>
    <row r="78" spans="1:4" x14ac:dyDescent="0.3">
      <c r="A78" s="14" t="s">
        <v>617</v>
      </c>
      <c r="B78" s="11">
        <v>2</v>
      </c>
      <c r="C78" s="11">
        <v>2</v>
      </c>
      <c r="D78" s="11">
        <v>4</v>
      </c>
    </row>
    <row r="79" spans="1:4" x14ac:dyDescent="0.3">
      <c r="A79" s="14" t="s">
        <v>618</v>
      </c>
      <c r="B79" s="11">
        <v>1</v>
      </c>
      <c r="C79" s="11">
        <v>1</v>
      </c>
      <c r="D79" s="11">
        <v>2</v>
      </c>
    </row>
    <row r="80" spans="1:4" x14ac:dyDescent="0.3">
      <c r="A80" s="14" t="s">
        <v>619</v>
      </c>
      <c r="B80" s="11">
        <v>4</v>
      </c>
      <c r="C80" s="11"/>
      <c r="D80" s="11">
        <v>4</v>
      </c>
    </row>
    <row r="81" spans="1:4" x14ac:dyDescent="0.3">
      <c r="A81" s="14" t="s">
        <v>620</v>
      </c>
      <c r="B81" s="11">
        <v>2</v>
      </c>
      <c r="C81" s="11">
        <v>2</v>
      </c>
      <c r="D81" s="11">
        <v>4</v>
      </c>
    </row>
    <row r="82" spans="1:4" x14ac:dyDescent="0.3">
      <c r="A82" s="14" t="s">
        <v>621</v>
      </c>
      <c r="B82" s="11">
        <v>2</v>
      </c>
      <c r="C82" s="11"/>
      <c r="D82" s="11">
        <v>2</v>
      </c>
    </row>
    <row r="83" spans="1:4" x14ac:dyDescent="0.3">
      <c r="A83" s="14" t="s">
        <v>622</v>
      </c>
      <c r="B83" s="11">
        <v>3</v>
      </c>
      <c r="C83" s="11">
        <v>2</v>
      </c>
      <c r="D83" s="11">
        <v>5</v>
      </c>
    </row>
    <row r="84" spans="1:4" x14ac:dyDescent="0.3">
      <c r="A84" s="14" t="s">
        <v>623</v>
      </c>
      <c r="B84" s="11">
        <v>2</v>
      </c>
      <c r="C84" s="11">
        <v>1</v>
      </c>
      <c r="D84" s="11">
        <v>3</v>
      </c>
    </row>
    <row r="85" spans="1:4" x14ac:dyDescent="0.3">
      <c r="A85" s="14" t="s">
        <v>624</v>
      </c>
      <c r="B85" s="11"/>
      <c r="C85" s="11">
        <v>1</v>
      </c>
      <c r="D85" s="11">
        <v>1</v>
      </c>
    </row>
    <row r="86" spans="1:4" x14ac:dyDescent="0.3">
      <c r="A86" s="14" t="s">
        <v>625</v>
      </c>
      <c r="B86" s="11">
        <v>1</v>
      </c>
      <c r="C86" s="11">
        <v>1</v>
      </c>
      <c r="D86" s="11">
        <v>2</v>
      </c>
    </row>
    <row r="87" spans="1:4" x14ac:dyDescent="0.3">
      <c r="A87" s="14" t="s">
        <v>626</v>
      </c>
      <c r="B87" s="11">
        <v>3</v>
      </c>
      <c r="C87" s="11">
        <v>1</v>
      </c>
      <c r="D87" s="11">
        <v>4</v>
      </c>
    </row>
    <row r="88" spans="1:4" x14ac:dyDescent="0.3">
      <c r="A88" s="14" t="s">
        <v>627</v>
      </c>
      <c r="B88" s="11">
        <v>3</v>
      </c>
      <c r="C88" s="11">
        <v>2</v>
      </c>
      <c r="D88" s="11">
        <v>5</v>
      </c>
    </row>
    <row r="89" spans="1:4" x14ac:dyDescent="0.3">
      <c r="A89" s="14" t="s">
        <v>628</v>
      </c>
      <c r="B89" s="11">
        <v>1</v>
      </c>
      <c r="C89" s="11"/>
      <c r="D89" s="11">
        <v>1</v>
      </c>
    </row>
    <row r="90" spans="1:4" x14ac:dyDescent="0.3">
      <c r="A90" s="14" t="s">
        <v>629</v>
      </c>
      <c r="B90" s="11">
        <v>1</v>
      </c>
      <c r="C90" s="11">
        <v>2</v>
      </c>
      <c r="D90" s="11">
        <v>3</v>
      </c>
    </row>
    <row r="91" spans="1:4" x14ac:dyDescent="0.3">
      <c r="A91" s="14" t="s">
        <v>630</v>
      </c>
      <c r="B91" s="11">
        <v>2</v>
      </c>
      <c r="C91" s="11"/>
      <c r="D91" s="11">
        <v>2</v>
      </c>
    </row>
    <row r="92" spans="1:4" x14ac:dyDescent="0.3">
      <c r="A92" s="14" t="s">
        <v>631</v>
      </c>
      <c r="B92" s="11">
        <v>1</v>
      </c>
      <c r="C92" s="11">
        <v>1</v>
      </c>
      <c r="D92" s="11">
        <v>2</v>
      </c>
    </row>
    <row r="93" spans="1:4" x14ac:dyDescent="0.3">
      <c r="A93" s="14" t="s">
        <v>632</v>
      </c>
      <c r="B93" s="11">
        <v>1</v>
      </c>
      <c r="C93" s="11"/>
      <c r="D93" s="11">
        <v>1</v>
      </c>
    </row>
    <row r="94" spans="1:4" x14ac:dyDescent="0.3">
      <c r="A94" s="14" t="s">
        <v>633</v>
      </c>
      <c r="B94" s="11">
        <v>4</v>
      </c>
      <c r="C94" s="11">
        <v>1</v>
      </c>
      <c r="D94" s="11">
        <v>5</v>
      </c>
    </row>
    <row r="95" spans="1:4" x14ac:dyDescent="0.3">
      <c r="A95" s="14" t="s">
        <v>634</v>
      </c>
      <c r="B95" s="11">
        <v>3</v>
      </c>
      <c r="C95" s="11">
        <v>1</v>
      </c>
      <c r="D95" s="11">
        <v>4</v>
      </c>
    </row>
    <row r="96" spans="1:4" x14ac:dyDescent="0.3">
      <c r="A96" s="14" t="s">
        <v>635</v>
      </c>
      <c r="B96" s="11">
        <v>1</v>
      </c>
      <c r="C96" s="11">
        <v>1</v>
      </c>
      <c r="D96" s="11">
        <v>2</v>
      </c>
    </row>
    <row r="97" spans="1:4" x14ac:dyDescent="0.3">
      <c r="A97" s="14" t="s">
        <v>636</v>
      </c>
      <c r="B97" s="11">
        <v>1</v>
      </c>
      <c r="C97" s="11"/>
      <c r="D97" s="11">
        <v>1</v>
      </c>
    </row>
    <row r="98" spans="1:4" x14ac:dyDescent="0.3">
      <c r="A98" s="14" t="s">
        <v>637</v>
      </c>
      <c r="B98" s="11"/>
      <c r="C98" s="11">
        <v>1</v>
      </c>
      <c r="D98" s="11">
        <v>1</v>
      </c>
    </row>
    <row r="99" spans="1:4" x14ac:dyDescent="0.3">
      <c r="A99" s="14" t="s">
        <v>638</v>
      </c>
      <c r="B99" s="11">
        <v>3</v>
      </c>
      <c r="C99" s="11">
        <v>1</v>
      </c>
      <c r="D99" s="11">
        <v>4</v>
      </c>
    </row>
    <row r="100" spans="1:4" x14ac:dyDescent="0.3">
      <c r="A100" s="14" t="s">
        <v>639</v>
      </c>
      <c r="B100" s="11"/>
      <c r="C100" s="11">
        <v>1</v>
      </c>
      <c r="D100" s="11">
        <v>1</v>
      </c>
    </row>
    <row r="101" spans="1:4" x14ac:dyDescent="0.3">
      <c r="A101" s="14" t="s">
        <v>640</v>
      </c>
      <c r="B101" s="11"/>
      <c r="C101" s="11">
        <v>2</v>
      </c>
      <c r="D101" s="11">
        <v>2</v>
      </c>
    </row>
    <row r="102" spans="1:4" x14ac:dyDescent="0.3">
      <c r="A102" s="14" t="s">
        <v>641</v>
      </c>
      <c r="B102" s="11"/>
      <c r="C102" s="11">
        <v>1</v>
      </c>
      <c r="D102" s="11">
        <v>1</v>
      </c>
    </row>
    <row r="103" spans="1:4" x14ac:dyDescent="0.3">
      <c r="A103" s="14" t="s">
        <v>642</v>
      </c>
      <c r="B103" s="11">
        <v>1</v>
      </c>
      <c r="C103" s="11">
        <v>2</v>
      </c>
      <c r="D103" s="11">
        <v>3</v>
      </c>
    </row>
    <row r="104" spans="1:4" x14ac:dyDescent="0.3">
      <c r="A104" s="14" t="s">
        <v>643</v>
      </c>
      <c r="B104" s="11">
        <v>2</v>
      </c>
      <c r="C104" s="11">
        <v>1</v>
      </c>
      <c r="D104" s="11">
        <v>3</v>
      </c>
    </row>
    <row r="105" spans="1:4" x14ac:dyDescent="0.3">
      <c r="A105" s="14" t="s">
        <v>644</v>
      </c>
      <c r="B105" s="11">
        <v>2</v>
      </c>
      <c r="C105" s="11">
        <v>2</v>
      </c>
      <c r="D105" s="11">
        <v>4</v>
      </c>
    </row>
    <row r="106" spans="1:4" x14ac:dyDescent="0.3">
      <c r="A106" s="14" t="s">
        <v>645</v>
      </c>
      <c r="B106" s="11">
        <v>1</v>
      </c>
      <c r="C106" s="11"/>
      <c r="D106" s="11">
        <v>1</v>
      </c>
    </row>
    <row r="107" spans="1:4" x14ac:dyDescent="0.3">
      <c r="A107" s="14" t="s">
        <v>646</v>
      </c>
      <c r="B107" s="11">
        <v>1</v>
      </c>
      <c r="C107" s="11"/>
      <c r="D107" s="11">
        <v>1</v>
      </c>
    </row>
    <row r="108" spans="1:4" x14ac:dyDescent="0.3">
      <c r="A108" s="14" t="s">
        <v>647</v>
      </c>
      <c r="B108" s="11">
        <v>1</v>
      </c>
      <c r="C108" s="11"/>
      <c r="D108" s="11">
        <v>1</v>
      </c>
    </row>
    <row r="109" spans="1:4" x14ac:dyDescent="0.3">
      <c r="A109" s="14" t="s">
        <v>648</v>
      </c>
      <c r="B109" s="11">
        <v>2</v>
      </c>
      <c r="C109" s="11">
        <v>1</v>
      </c>
      <c r="D109" s="11">
        <v>3</v>
      </c>
    </row>
    <row r="110" spans="1:4" x14ac:dyDescent="0.3">
      <c r="A110" s="14" t="s">
        <v>649</v>
      </c>
      <c r="B110" s="11">
        <v>3</v>
      </c>
      <c r="C110" s="11"/>
      <c r="D110" s="11">
        <v>3</v>
      </c>
    </row>
    <row r="111" spans="1:4" x14ac:dyDescent="0.3">
      <c r="A111" s="14" t="s">
        <v>650</v>
      </c>
      <c r="B111" s="11">
        <v>2</v>
      </c>
      <c r="C111" s="11"/>
      <c r="D111" s="11">
        <v>2</v>
      </c>
    </row>
    <row r="112" spans="1:4" x14ac:dyDescent="0.3">
      <c r="A112" s="14" t="s">
        <v>651</v>
      </c>
      <c r="B112" s="11">
        <v>1</v>
      </c>
      <c r="C112" s="11"/>
      <c r="D112" s="11">
        <v>1</v>
      </c>
    </row>
    <row r="113" spans="1:4" x14ac:dyDescent="0.3">
      <c r="A113" s="14" t="s">
        <v>652</v>
      </c>
      <c r="B113" s="11">
        <v>1</v>
      </c>
      <c r="C113" s="11"/>
      <c r="D113" s="11">
        <v>1</v>
      </c>
    </row>
    <row r="114" spans="1:4" x14ac:dyDescent="0.3">
      <c r="A114" s="14" t="s">
        <v>653</v>
      </c>
      <c r="B114" s="11">
        <v>4</v>
      </c>
      <c r="C114" s="11"/>
      <c r="D114" s="11">
        <v>4</v>
      </c>
    </row>
    <row r="115" spans="1:4" x14ac:dyDescent="0.3">
      <c r="A115" s="14" t="s">
        <v>654</v>
      </c>
      <c r="B115" s="11">
        <v>3</v>
      </c>
      <c r="C115" s="11"/>
      <c r="D115" s="11">
        <v>3</v>
      </c>
    </row>
    <row r="116" spans="1:4" x14ac:dyDescent="0.3">
      <c r="A116" s="14" t="s">
        <v>655</v>
      </c>
      <c r="B116" s="11">
        <v>3</v>
      </c>
      <c r="C116" s="11"/>
      <c r="D116" s="11">
        <v>3</v>
      </c>
    </row>
    <row r="117" spans="1:4" x14ac:dyDescent="0.3">
      <c r="A117" s="14" t="s">
        <v>656</v>
      </c>
      <c r="B117" s="11">
        <v>2</v>
      </c>
      <c r="C117" s="11"/>
      <c r="D117" s="11">
        <v>2</v>
      </c>
    </row>
    <row r="118" spans="1:4" x14ac:dyDescent="0.3">
      <c r="A118" s="14" t="s">
        <v>657</v>
      </c>
      <c r="B118" s="11">
        <v>3</v>
      </c>
      <c r="C118" s="11">
        <v>3</v>
      </c>
      <c r="D118" s="11">
        <v>6</v>
      </c>
    </row>
    <row r="119" spans="1:4" x14ac:dyDescent="0.3">
      <c r="A119" s="14" t="s">
        <v>658</v>
      </c>
      <c r="B119" s="11">
        <v>1</v>
      </c>
      <c r="C119" s="11">
        <v>1</v>
      </c>
      <c r="D119" s="11">
        <v>2</v>
      </c>
    </row>
    <row r="120" spans="1:4" x14ac:dyDescent="0.3">
      <c r="A120" s="14" t="s">
        <v>659</v>
      </c>
      <c r="B120" s="11">
        <v>1</v>
      </c>
      <c r="C120" s="11"/>
      <c r="D120" s="11">
        <v>1</v>
      </c>
    </row>
    <row r="121" spans="1:4" x14ac:dyDescent="0.3">
      <c r="A121" s="14" t="s">
        <v>660</v>
      </c>
      <c r="B121" s="11">
        <v>1</v>
      </c>
      <c r="C121" s="11"/>
      <c r="D121" s="11">
        <v>1</v>
      </c>
    </row>
    <row r="122" spans="1:4" x14ac:dyDescent="0.3">
      <c r="A122" s="14" t="s">
        <v>661</v>
      </c>
      <c r="B122" s="11">
        <v>1</v>
      </c>
      <c r="C122" s="11"/>
      <c r="D122" s="11">
        <v>1</v>
      </c>
    </row>
    <row r="123" spans="1:4" x14ac:dyDescent="0.3">
      <c r="A123" s="14" t="s">
        <v>662</v>
      </c>
      <c r="B123" s="11">
        <v>3</v>
      </c>
      <c r="C123" s="11">
        <v>3</v>
      </c>
      <c r="D123" s="11">
        <v>6</v>
      </c>
    </row>
    <row r="124" spans="1:4" x14ac:dyDescent="0.3">
      <c r="A124" s="14" t="s">
        <v>663</v>
      </c>
      <c r="B124" s="11">
        <v>1</v>
      </c>
      <c r="C124" s="11">
        <v>2</v>
      </c>
      <c r="D124" s="11">
        <v>3</v>
      </c>
    </row>
    <row r="125" spans="1:4" x14ac:dyDescent="0.3">
      <c r="A125" s="14" t="s">
        <v>664</v>
      </c>
      <c r="B125" s="11">
        <v>2</v>
      </c>
      <c r="C125" s="11">
        <v>1</v>
      </c>
      <c r="D125" s="11">
        <v>3</v>
      </c>
    </row>
    <row r="126" spans="1:4" x14ac:dyDescent="0.3">
      <c r="A126" s="14" t="s">
        <v>665</v>
      </c>
      <c r="B126" s="11">
        <v>2</v>
      </c>
      <c r="C126" s="11">
        <v>1</v>
      </c>
      <c r="D126" s="11">
        <v>3</v>
      </c>
    </row>
    <row r="127" spans="1:4" x14ac:dyDescent="0.3">
      <c r="A127" s="14" t="s">
        <v>666</v>
      </c>
      <c r="B127" s="11">
        <v>1</v>
      </c>
      <c r="C127" s="11"/>
      <c r="D127" s="11">
        <v>1</v>
      </c>
    </row>
    <row r="128" spans="1:4" x14ac:dyDescent="0.3">
      <c r="A128" s="14" t="s">
        <v>667</v>
      </c>
      <c r="B128" s="11">
        <v>3</v>
      </c>
      <c r="C128" s="11"/>
      <c r="D128" s="11">
        <v>3</v>
      </c>
    </row>
    <row r="129" spans="1:4" x14ac:dyDescent="0.3">
      <c r="A129" s="14" t="s">
        <v>668</v>
      </c>
      <c r="B129" s="11">
        <v>2</v>
      </c>
      <c r="C129" s="11"/>
      <c r="D129" s="11">
        <v>2</v>
      </c>
    </row>
    <row r="130" spans="1:4" x14ac:dyDescent="0.3">
      <c r="A130" s="14" t="s">
        <v>669</v>
      </c>
      <c r="B130" s="11">
        <v>1</v>
      </c>
      <c r="C130" s="11">
        <v>1</v>
      </c>
      <c r="D130" s="11">
        <v>2</v>
      </c>
    </row>
    <row r="131" spans="1:4" x14ac:dyDescent="0.3">
      <c r="A131" s="14" t="s">
        <v>670</v>
      </c>
      <c r="B131" s="11"/>
      <c r="C131" s="11">
        <v>1</v>
      </c>
      <c r="D131" s="11">
        <v>1</v>
      </c>
    </row>
    <row r="132" spans="1:4" x14ac:dyDescent="0.3">
      <c r="A132" s="14" t="s">
        <v>671</v>
      </c>
      <c r="B132" s="11">
        <v>1</v>
      </c>
      <c r="C132" s="11">
        <v>1</v>
      </c>
      <c r="D132" s="11">
        <v>2</v>
      </c>
    </row>
    <row r="133" spans="1:4" x14ac:dyDescent="0.3">
      <c r="A133" s="14" t="s">
        <v>672</v>
      </c>
      <c r="B133" s="11"/>
      <c r="C133" s="11">
        <v>2</v>
      </c>
      <c r="D133" s="11">
        <v>2</v>
      </c>
    </row>
    <row r="134" spans="1:4" x14ac:dyDescent="0.3">
      <c r="A134" s="14" t="s">
        <v>673</v>
      </c>
      <c r="B134" s="11">
        <v>1</v>
      </c>
      <c r="C134" s="11">
        <v>1</v>
      </c>
      <c r="D134" s="11">
        <v>2</v>
      </c>
    </row>
    <row r="135" spans="1:4" x14ac:dyDescent="0.3">
      <c r="A135" s="14" t="s">
        <v>674</v>
      </c>
      <c r="B135" s="11">
        <v>1</v>
      </c>
      <c r="C135" s="11">
        <v>2</v>
      </c>
      <c r="D135" s="11">
        <v>3</v>
      </c>
    </row>
    <row r="136" spans="1:4" x14ac:dyDescent="0.3">
      <c r="A136" s="14" t="s">
        <v>675</v>
      </c>
      <c r="B136" s="11">
        <v>2</v>
      </c>
      <c r="C136" s="11"/>
      <c r="D136" s="11">
        <v>2</v>
      </c>
    </row>
    <row r="137" spans="1:4" x14ac:dyDescent="0.3">
      <c r="A137" s="14" t="s">
        <v>676</v>
      </c>
      <c r="B137" s="11">
        <v>1</v>
      </c>
      <c r="C137" s="11"/>
      <c r="D137" s="11">
        <v>1</v>
      </c>
    </row>
    <row r="138" spans="1:4" x14ac:dyDescent="0.3">
      <c r="A138" s="14" t="s">
        <v>677</v>
      </c>
      <c r="B138" s="11">
        <v>2</v>
      </c>
      <c r="C138" s="11"/>
      <c r="D138" s="11">
        <v>2</v>
      </c>
    </row>
    <row r="139" spans="1:4" x14ac:dyDescent="0.3">
      <c r="A139" s="14" t="s">
        <v>678</v>
      </c>
      <c r="B139" s="11">
        <v>1</v>
      </c>
      <c r="C139" s="11">
        <v>1</v>
      </c>
      <c r="D139" s="11">
        <v>2</v>
      </c>
    </row>
    <row r="140" spans="1:4" x14ac:dyDescent="0.3">
      <c r="A140" s="14" t="s">
        <v>679</v>
      </c>
      <c r="B140" s="11">
        <v>2</v>
      </c>
      <c r="C140" s="11">
        <v>1</v>
      </c>
      <c r="D140" s="11">
        <v>3</v>
      </c>
    </row>
    <row r="141" spans="1:4" x14ac:dyDescent="0.3">
      <c r="A141" s="14" t="s">
        <v>680</v>
      </c>
      <c r="B141" s="11">
        <v>1</v>
      </c>
      <c r="C141" s="11">
        <v>1</v>
      </c>
      <c r="D141" s="11">
        <v>2</v>
      </c>
    </row>
    <row r="142" spans="1:4" x14ac:dyDescent="0.3">
      <c r="A142" s="14" t="s">
        <v>681</v>
      </c>
      <c r="B142" s="11"/>
      <c r="C142" s="11">
        <v>1</v>
      </c>
      <c r="D142" s="11">
        <v>1</v>
      </c>
    </row>
    <row r="143" spans="1:4" x14ac:dyDescent="0.3">
      <c r="A143" s="14" t="s">
        <v>682</v>
      </c>
      <c r="B143" s="11"/>
      <c r="C143" s="11">
        <v>2</v>
      </c>
      <c r="D143" s="11">
        <v>2</v>
      </c>
    </row>
    <row r="144" spans="1:4" x14ac:dyDescent="0.3">
      <c r="A144" s="14" t="s">
        <v>683</v>
      </c>
      <c r="B144" s="11">
        <v>3</v>
      </c>
      <c r="C144" s="11"/>
      <c r="D144" s="11">
        <v>3</v>
      </c>
    </row>
    <row r="145" spans="1:4" x14ac:dyDescent="0.3">
      <c r="A145" s="14" t="s">
        <v>684</v>
      </c>
      <c r="B145" s="11"/>
      <c r="C145" s="11">
        <v>2</v>
      </c>
      <c r="D145" s="11">
        <v>2</v>
      </c>
    </row>
    <row r="146" spans="1:4" x14ac:dyDescent="0.3">
      <c r="A146" s="14" t="s">
        <v>685</v>
      </c>
      <c r="B146" s="11">
        <v>2</v>
      </c>
      <c r="C146" s="11">
        <v>3</v>
      </c>
      <c r="D146" s="11">
        <v>5</v>
      </c>
    </row>
    <row r="147" spans="1:4" x14ac:dyDescent="0.3">
      <c r="A147" s="14" t="s">
        <v>686</v>
      </c>
      <c r="B147" s="11">
        <v>3</v>
      </c>
      <c r="C147" s="11">
        <v>1</v>
      </c>
      <c r="D147" s="11">
        <v>4</v>
      </c>
    </row>
    <row r="148" spans="1:4" x14ac:dyDescent="0.3">
      <c r="A148" s="14" t="s">
        <v>687</v>
      </c>
      <c r="B148" s="11">
        <v>1</v>
      </c>
      <c r="C148" s="11">
        <v>3</v>
      </c>
      <c r="D148" s="11">
        <v>4</v>
      </c>
    </row>
    <row r="149" spans="1:4" x14ac:dyDescent="0.3">
      <c r="A149" s="14" t="s">
        <v>688</v>
      </c>
      <c r="B149" s="11"/>
      <c r="C149" s="11">
        <v>2</v>
      </c>
      <c r="D149" s="11">
        <v>2</v>
      </c>
    </row>
    <row r="150" spans="1:4" x14ac:dyDescent="0.3">
      <c r="A150" s="14" t="s">
        <v>689</v>
      </c>
      <c r="B150" s="11"/>
      <c r="C150" s="11">
        <v>1</v>
      </c>
      <c r="D150" s="11">
        <v>1</v>
      </c>
    </row>
    <row r="151" spans="1:4" x14ac:dyDescent="0.3">
      <c r="A151" s="14" t="s">
        <v>690</v>
      </c>
      <c r="B151" s="11"/>
      <c r="C151" s="11">
        <v>1</v>
      </c>
      <c r="D151" s="11">
        <v>1</v>
      </c>
    </row>
    <row r="152" spans="1:4" x14ac:dyDescent="0.3">
      <c r="A152" s="14" t="s">
        <v>691</v>
      </c>
      <c r="B152" s="11">
        <v>2</v>
      </c>
      <c r="C152" s="11">
        <v>1</v>
      </c>
      <c r="D152" s="11">
        <v>3</v>
      </c>
    </row>
    <row r="153" spans="1:4" x14ac:dyDescent="0.3">
      <c r="A153" s="14" t="s">
        <v>692</v>
      </c>
      <c r="B153" s="11"/>
      <c r="C153" s="11">
        <v>2</v>
      </c>
      <c r="D153" s="11">
        <v>2</v>
      </c>
    </row>
    <row r="154" spans="1:4" x14ac:dyDescent="0.3">
      <c r="A154" s="14" t="s">
        <v>693</v>
      </c>
      <c r="B154" s="11">
        <v>1</v>
      </c>
      <c r="C154" s="11">
        <v>1</v>
      </c>
      <c r="D154" s="11">
        <v>2</v>
      </c>
    </row>
    <row r="155" spans="1:4" x14ac:dyDescent="0.3">
      <c r="A155" s="14" t="s">
        <v>694</v>
      </c>
      <c r="B155" s="11"/>
      <c r="C155" s="11">
        <v>4</v>
      </c>
      <c r="D155" s="11">
        <v>4</v>
      </c>
    </row>
    <row r="156" spans="1:4" x14ac:dyDescent="0.3">
      <c r="A156" s="14" t="s">
        <v>695</v>
      </c>
      <c r="B156" s="11">
        <v>4</v>
      </c>
      <c r="C156" s="11"/>
      <c r="D156" s="11">
        <v>4</v>
      </c>
    </row>
    <row r="157" spans="1:4" x14ac:dyDescent="0.3">
      <c r="A157" s="14" t="s">
        <v>696</v>
      </c>
      <c r="B157" s="11">
        <v>3</v>
      </c>
      <c r="C157" s="11"/>
      <c r="D157" s="11">
        <v>3</v>
      </c>
    </row>
    <row r="158" spans="1:4" x14ac:dyDescent="0.3">
      <c r="A158" s="14" t="s">
        <v>697</v>
      </c>
      <c r="B158" s="11">
        <v>2</v>
      </c>
      <c r="C158" s="11">
        <v>2</v>
      </c>
      <c r="D158" s="11">
        <v>4</v>
      </c>
    </row>
    <row r="159" spans="1:4" x14ac:dyDescent="0.3">
      <c r="A159" s="14" t="s">
        <v>698</v>
      </c>
      <c r="B159" s="11">
        <v>1</v>
      </c>
      <c r="C159" s="11">
        <v>2</v>
      </c>
      <c r="D159" s="11">
        <v>3</v>
      </c>
    </row>
    <row r="160" spans="1:4" x14ac:dyDescent="0.3">
      <c r="A160" s="14" t="s">
        <v>699</v>
      </c>
      <c r="B160" s="11">
        <v>4</v>
      </c>
      <c r="C160" s="11"/>
      <c r="D160" s="11">
        <v>4</v>
      </c>
    </row>
    <row r="161" spans="1:4" x14ac:dyDescent="0.3">
      <c r="A161" s="14" t="s">
        <v>700</v>
      </c>
      <c r="B161" s="11">
        <v>2</v>
      </c>
      <c r="C161" s="11"/>
      <c r="D161" s="11">
        <v>2</v>
      </c>
    </row>
    <row r="162" spans="1:4" x14ac:dyDescent="0.3">
      <c r="A162" s="14" t="s">
        <v>701</v>
      </c>
      <c r="B162" s="11">
        <v>1</v>
      </c>
      <c r="C162" s="11">
        <v>1</v>
      </c>
      <c r="D162" s="11">
        <v>2</v>
      </c>
    </row>
    <row r="163" spans="1:4" x14ac:dyDescent="0.3">
      <c r="A163" s="14" t="s">
        <v>702</v>
      </c>
      <c r="B163" s="11">
        <v>1</v>
      </c>
      <c r="C163" s="11"/>
      <c r="D163" s="11">
        <v>1</v>
      </c>
    </row>
    <row r="164" spans="1:4" x14ac:dyDescent="0.3">
      <c r="A164" s="14" t="s">
        <v>703</v>
      </c>
      <c r="B164" s="11"/>
      <c r="C164" s="11">
        <v>2</v>
      </c>
      <c r="D164" s="11">
        <v>2</v>
      </c>
    </row>
    <row r="165" spans="1:4" x14ac:dyDescent="0.3">
      <c r="A165" s="14" t="s">
        <v>704</v>
      </c>
      <c r="B165" s="11">
        <v>1</v>
      </c>
      <c r="C165" s="11">
        <v>1</v>
      </c>
      <c r="D165" s="11">
        <v>2</v>
      </c>
    </row>
    <row r="166" spans="1:4" x14ac:dyDescent="0.3">
      <c r="A166" s="14" t="s">
        <v>705</v>
      </c>
      <c r="B166" s="11">
        <v>2</v>
      </c>
      <c r="C166" s="11"/>
      <c r="D166" s="11">
        <v>2</v>
      </c>
    </row>
    <row r="167" spans="1:4" x14ac:dyDescent="0.3">
      <c r="A167" s="14" t="s">
        <v>706</v>
      </c>
      <c r="B167" s="11">
        <v>2</v>
      </c>
      <c r="C167" s="11">
        <v>2</v>
      </c>
      <c r="D167" s="11">
        <v>4</v>
      </c>
    </row>
    <row r="168" spans="1:4" x14ac:dyDescent="0.3">
      <c r="A168" s="14" t="s">
        <v>707</v>
      </c>
      <c r="B168" s="11"/>
      <c r="C168" s="11">
        <v>1</v>
      </c>
      <c r="D168" s="11">
        <v>1</v>
      </c>
    </row>
    <row r="169" spans="1:4" x14ac:dyDescent="0.3">
      <c r="A169" s="14" t="s">
        <v>708</v>
      </c>
      <c r="B169" s="11">
        <v>1</v>
      </c>
      <c r="C169" s="11">
        <v>1</v>
      </c>
      <c r="D169" s="11">
        <v>2</v>
      </c>
    </row>
    <row r="170" spans="1:4" x14ac:dyDescent="0.3">
      <c r="A170" s="14" t="s">
        <v>709</v>
      </c>
      <c r="B170" s="11">
        <v>3</v>
      </c>
      <c r="C170" s="11">
        <v>2</v>
      </c>
      <c r="D170" s="11">
        <v>5</v>
      </c>
    </row>
    <row r="171" spans="1:4" x14ac:dyDescent="0.3">
      <c r="A171" s="14" t="s">
        <v>710</v>
      </c>
      <c r="B171" s="11">
        <v>2</v>
      </c>
      <c r="C171" s="11">
        <v>2</v>
      </c>
      <c r="D171" s="11">
        <v>4</v>
      </c>
    </row>
    <row r="172" spans="1:4" x14ac:dyDescent="0.3">
      <c r="A172" s="14" t="s">
        <v>711</v>
      </c>
      <c r="B172" s="11">
        <v>2</v>
      </c>
      <c r="C172" s="11">
        <v>2</v>
      </c>
      <c r="D172" s="11">
        <v>4</v>
      </c>
    </row>
    <row r="173" spans="1:4" x14ac:dyDescent="0.3">
      <c r="A173" s="14" t="s">
        <v>712</v>
      </c>
      <c r="B173" s="11">
        <v>2</v>
      </c>
      <c r="C173" s="11"/>
      <c r="D173" s="11">
        <v>2</v>
      </c>
    </row>
    <row r="174" spans="1:4" x14ac:dyDescent="0.3">
      <c r="A174" s="14" t="s">
        <v>713</v>
      </c>
      <c r="B174" s="11">
        <v>3</v>
      </c>
      <c r="C174" s="11">
        <v>1</v>
      </c>
      <c r="D174" s="11">
        <v>4</v>
      </c>
    </row>
    <row r="175" spans="1:4" x14ac:dyDescent="0.3">
      <c r="A175" s="14" t="s">
        <v>714</v>
      </c>
      <c r="B175" s="11">
        <v>1</v>
      </c>
      <c r="C175" s="11"/>
      <c r="D175" s="11">
        <v>1</v>
      </c>
    </row>
    <row r="176" spans="1:4" x14ac:dyDescent="0.3">
      <c r="A176" s="14" t="s">
        <v>715</v>
      </c>
      <c r="B176" s="11">
        <v>1</v>
      </c>
      <c r="C176" s="11"/>
      <c r="D176" s="11">
        <v>1</v>
      </c>
    </row>
    <row r="177" spans="1:4" x14ac:dyDescent="0.3">
      <c r="A177" s="14" t="s">
        <v>716</v>
      </c>
      <c r="B177" s="11"/>
      <c r="C177" s="11">
        <v>2</v>
      </c>
      <c r="D177" s="11">
        <v>2</v>
      </c>
    </row>
    <row r="178" spans="1:4" x14ac:dyDescent="0.3">
      <c r="A178" s="14" t="s">
        <v>717</v>
      </c>
      <c r="B178" s="11">
        <v>1</v>
      </c>
      <c r="C178" s="11"/>
      <c r="D178" s="11">
        <v>1</v>
      </c>
    </row>
    <row r="179" spans="1:4" x14ac:dyDescent="0.3">
      <c r="A179" s="14" t="s">
        <v>718</v>
      </c>
      <c r="B179" s="11">
        <v>1</v>
      </c>
      <c r="C179" s="11"/>
      <c r="D179" s="11">
        <v>1</v>
      </c>
    </row>
    <row r="180" spans="1:4" x14ac:dyDescent="0.3">
      <c r="A180" s="14" t="s">
        <v>719</v>
      </c>
      <c r="B180" s="11"/>
      <c r="C180" s="11">
        <v>1</v>
      </c>
      <c r="D180" s="11">
        <v>1</v>
      </c>
    </row>
    <row r="181" spans="1:4" x14ac:dyDescent="0.3">
      <c r="A181" s="14" t="s">
        <v>720</v>
      </c>
      <c r="B181" s="11">
        <v>3</v>
      </c>
      <c r="C181" s="11">
        <v>1</v>
      </c>
      <c r="D181" s="11">
        <v>4</v>
      </c>
    </row>
    <row r="182" spans="1:4" x14ac:dyDescent="0.3">
      <c r="A182" s="14" t="s">
        <v>721</v>
      </c>
      <c r="B182" s="11">
        <v>4</v>
      </c>
      <c r="C182" s="11"/>
      <c r="D182" s="11">
        <v>4</v>
      </c>
    </row>
    <row r="183" spans="1:4" x14ac:dyDescent="0.3">
      <c r="A183" s="14" t="s">
        <v>722</v>
      </c>
      <c r="B183" s="11">
        <v>1</v>
      </c>
      <c r="C183" s="11"/>
      <c r="D183" s="11">
        <v>1</v>
      </c>
    </row>
    <row r="184" spans="1:4" x14ac:dyDescent="0.3">
      <c r="A184" s="14" t="s">
        <v>723</v>
      </c>
      <c r="B184" s="11">
        <v>3</v>
      </c>
      <c r="C184" s="11"/>
      <c r="D184" s="11">
        <v>3</v>
      </c>
    </row>
    <row r="185" spans="1:4" x14ac:dyDescent="0.3">
      <c r="A185" s="14" t="s">
        <v>724</v>
      </c>
      <c r="B185" s="11"/>
      <c r="C185" s="11">
        <v>1</v>
      </c>
      <c r="D185" s="11">
        <v>1</v>
      </c>
    </row>
    <row r="186" spans="1:4" x14ac:dyDescent="0.3">
      <c r="A186" s="14" t="s">
        <v>725</v>
      </c>
      <c r="B186" s="11"/>
      <c r="C186" s="11">
        <v>2</v>
      </c>
      <c r="D186" s="11">
        <v>2</v>
      </c>
    </row>
    <row r="187" spans="1:4" x14ac:dyDescent="0.3">
      <c r="A187" s="14" t="s">
        <v>726</v>
      </c>
      <c r="B187" s="11">
        <v>1</v>
      </c>
      <c r="C187" s="11">
        <v>2</v>
      </c>
      <c r="D187" s="11">
        <v>3</v>
      </c>
    </row>
    <row r="188" spans="1:4" x14ac:dyDescent="0.3">
      <c r="A188" s="14" t="s">
        <v>727</v>
      </c>
      <c r="B188" s="11"/>
      <c r="C188" s="11">
        <v>1</v>
      </c>
      <c r="D188" s="11">
        <v>1</v>
      </c>
    </row>
    <row r="189" spans="1:4" x14ac:dyDescent="0.3">
      <c r="A189" s="14" t="s">
        <v>728</v>
      </c>
      <c r="B189" s="11"/>
      <c r="C189" s="11">
        <v>4</v>
      </c>
      <c r="D189" s="11">
        <v>4</v>
      </c>
    </row>
    <row r="190" spans="1:4" x14ac:dyDescent="0.3">
      <c r="A190" s="14" t="s">
        <v>729</v>
      </c>
      <c r="B190" s="11"/>
      <c r="C190" s="11">
        <v>2</v>
      </c>
      <c r="D190" s="11">
        <v>2</v>
      </c>
    </row>
    <row r="191" spans="1:4" x14ac:dyDescent="0.3">
      <c r="A191" s="14" t="s">
        <v>730</v>
      </c>
      <c r="B191" s="11">
        <v>1</v>
      </c>
      <c r="C191" s="11">
        <v>3</v>
      </c>
      <c r="D191" s="11">
        <v>4</v>
      </c>
    </row>
    <row r="192" spans="1:4" x14ac:dyDescent="0.3">
      <c r="A192" s="14" t="s">
        <v>731</v>
      </c>
      <c r="B192" s="11"/>
      <c r="C192" s="11">
        <v>1</v>
      </c>
      <c r="D192" s="11">
        <v>1</v>
      </c>
    </row>
    <row r="193" spans="1:4" x14ac:dyDescent="0.3">
      <c r="A193" s="14" t="s">
        <v>732</v>
      </c>
      <c r="B193" s="11">
        <v>2</v>
      </c>
      <c r="C193" s="11">
        <v>3</v>
      </c>
      <c r="D193" s="11">
        <v>5</v>
      </c>
    </row>
    <row r="194" spans="1:4" x14ac:dyDescent="0.3">
      <c r="A194" s="14" t="s">
        <v>733</v>
      </c>
      <c r="B194" s="11">
        <v>1</v>
      </c>
      <c r="C194" s="11">
        <v>2</v>
      </c>
      <c r="D194" s="11">
        <v>3</v>
      </c>
    </row>
    <row r="195" spans="1:4" x14ac:dyDescent="0.3">
      <c r="A195" s="14" t="s">
        <v>734</v>
      </c>
      <c r="B195" s="11"/>
      <c r="C195" s="11">
        <v>1</v>
      </c>
      <c r="D195" s="11">
        <v>1</v>
      </c>
    </row>
    <row r="196" spans="1:4" x14ac:dyDescent="0.3">
      <c r="A196" s="14" t="s">
        <v>735</v>
      </c>
      <c r="B196" s="11">
        <v>3</v>
      </c>
      <c r="C196" s="11">
        <v>3</v>
      </c>
      <c r="D196" s="11">
        <v>6</v>
      </c>
    </row>
    <row r="197" spans="1:4" x14ac:dyDescent="0.3">
      <c r="A197" s="14" t="s">
        <v>736</v>
      </c>
      <c r="B197" s="11">
        <v>1</v>
      </c>
      <c r="C197" s="11">
        <v>2</v>
      </c>
      <c r="D197" s="11">
        <v>3</v>
      </c>
    </row>
    <row r="198" spans="1:4" x14ac:dyDescent="0.3">
      <c r="A198" s="14" t="s">
        <v>737</v>
      </c>
      <c r="B198" s="11">
        <v>1</v>
      </c>
      <c r="C198" s="11"/>
      <c r="D198" s="11">
        <v>1</v>
      </c>
    </row>
    <row r="199" spans="1:4" x14ac:dyDescent="0.3">
      <c r="A199" s="14" t="s">
        <v>738</v>
      </c>
      <c r="B199" s="11">
        <v>2</v>
      </c>
      <c r="C199" s="11">
        <v>2</v>
      </c>
      <c r="D199" s="11">
        <v>4</v>
      </c>
    </row>
    <row r="200" spans="1:4" x14ac:dyDescent="0.3">
      <c r="A200" s="14" t="s">
        <v>739</v>
      </c>
      <c r="B200" s="11">
        <v>1</v>
      </c>
      <c r="C200" s="11"/>
      <c r="D200" s="11">
        <v>1</v>
      </c>
    </row>
    <row r="201" spans="1:4" x14ac:dyDescent="0.3">
      <c r="A201" s="14" t="s">
        <v>535</v>
      </c>
      <c r="B201" s="11">
        <v>298</v>
      </c>
      <c r="C201" s="11">
        <v>202</v>
      </c>
      <c r="D201" s="11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BE27-9DAF-4DF7-A0ED-FDAE96991917}">
  <dimension ref="A3:D200"/>
  <sheetViews>
    <sheetView workbookViewId="0">
      <selection activeCell="A10" sqref="A10:D10"/>
    </sheetView>
  </sheetViews>
  <sheetFormatPr defaultRowHeight="14.4" x14ac:dyDescent="0.3"/>
  <cols>
    <col min="1" max="1" width="19.886718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9" t="s">
        <v>536</v>
      </c>
      <c r="B3" s="9" t="s">
        <v>537</v>
      </c>
    </row>
    <row r="4" spans="1:4" x14ac:dyDescent="0.3">
      <c r="A4" s="9" t="s">
        <v>534</v>
      </c>
      <c r="B4" t="s">
        <v>15</v>
      </c>
      <c r="C4" t="s">
        <v>23</v>
      </c>
      <c r="D4" t="s">
        <v>535</v>
      </c>
    </row>
    <row r="5" spans="1:4" x14ac:dyDescent="0.3">
      <c r="A5" s="14" t="s">
        <v>740</v>
      </c>
      <c r="B5" s="11">
        <v>3</v>
      </c>
      <c r="C5" s="11">
        <v>3</v>
      </c>
      <c r="D5" s="11">
        <v>6</v>
      </c>
    </row>
    <row r="6" spans="1:4" x14ac:dyDescent="0.3">
      <c r="A6" s="14" t="s">
        <v>741</v>
      </c>
      <c r="B6" s="11">
        <v>3</v>
      </c>
      <c r="C6" s="11">
        <v>5</v>
      </c>
      <c r="D6" s="11">
        <v>8</v>
      </c>
    </row>
    <row r="7" spans="1:4" x14ac:dyDescent="0.3">
      <c r="A7" s="14" t="s">
        <v>742</v>
      </c>
      <c r="B7" s="11">
        <v>3</v>
      </c>
      <c r="C7" s="11">
        <v>4</v>
      </c>
      <c r="D7" s="11">
        <v>7</v>
      </c>
    </row>
    <row r="8" spans="1:4" x14ac:dyDescent="0.3">
      <c r="A8" s="14" t="s">
        <v>743</v>
      </c>
      <c r="B8" s="11">
        <v>4</v>
      </c>
      <c r="C8" s="11">
        <v>2</v>
      </c>
      <c r="D8" s="11">
        <v>6</v>
      </c>
    </row>
    <row r="9" spans="1:4" x14ac:dyDescent="0.3">
      <c r="A9" s="14" t="s">
        <v>744</v>
      </c>
      <c r="B9" s="11">
        <v>5</v>
      </c>
      <c r="C9" s="11">
        <v>2</v>
      </c>
      <c r="D9" s="11">
        <v>7</v>
      </c>
    </row>
    <row r="10" spans="1:4" x14ac:dyDescent="0.3">
      <c r="A10" s="14" t="s">
        <v>745</v>
      </c>
      <c r="B10" s="11">
        <v>3</v>
      </c>
      <c r="C10" s="11">
        <v>1</v>
      </c>
      <c r="D10" s="11">
        <v>4</v>
      </c>
    </row>
    <row r="11" spans="1:4" x14ac:dyDescent="0.3">
      <c r="A11" s="14" t="s">
        <v>746</v>
      </c>
      <c r="B11" s="11">
        <v>2</v>
      </c>
      <c r="C11" s="11">
        <v>2</v>
      </c>
      <c r="D11" s="11">
        <v>4</v>
      </c>
    </row>
    <row r="12" spans="1:4" x14ac:dyDescent="0.3">
      <c r="A12" s="14" t="s">
        <v>747</v>
      </c>
      <c r="B12" s="11">
        <v>3</v>
      </c>
      <c r="C12" s="11">
        <v>2</v>
      </c>
      <c r="D12" s="11">
        <v>5</v>
      </c>
    </row>
    <row r="13" spans="1:4" x14ac:dyDescent="0.3">
      <c r="A13" s="14" t="s">
        <v>748</v>
      </c>
      <c r="B13" s="11">
        <v>3</v>
      </c>
      <c r="C13" s="11">
        <v>2</v>
      </c>
      <c r="D13" s="11">
        <v>5</v>
      </c>
    </row>
    <row r="14" spans="1:4" x14ac:dyDescent="0.3">
      <c r="A14" s="14" t="s">
        <v>749</v>
      </c>
      <c r="B14" s="11">
        <v>4</v>
      </c>
      <c r="C14" s="11">
        <v>1</v>
      </c>
      <c r="D14" s="11">
        <v>5</v>
      </c>
    </row>
    <row r="15" spans="1:4" x14ac:dyDescent="0.3">
      <c r="A15" s="14" t="s">
        <v>750</v>
      </c>
      <c r="B15" s="11">
        <v>1</v>
      </c>
      <c r="C15" s="11">
        <v>4</v>
      </c>
      <c r="D15" s="11">
        <v>5</v>
      </c>
    </row>
    <row r="16" spans="1:4" x14ac:dyDescent="0.3">
      <c r="A16" s="14" t="s">
        <v>751</v>
      </c>
      <c r="B16" s="11">
        <v>2</v>
      </c>
      <c r="C16" s="11">
        <v>4</v>
      </c>
      <c r="D16" s="11">
        <v>6</v>
      </c>
    </row>
    <row r="17" spans="1:4" x14ac:dyDescent="0.3">
      <c r="A17" s="14" t="s">
        <v>752</v>
      </c>
      <c r="B17" s="11">
        <v>1</v>
      </c>
      <c r="C17" s="11">
        <v>2</v>
      </c>
      <c r="D17" s="11">
        <v>3</v>
      </c>
    </row>
    <row r="18" spans="1:4" x14ac:dyDescent="0.3">
      <c r="A18" s="14" t="s">
        <v>753</v>
      </c>
      <c r="B18" s="11">
        <v>3</v>
      </c>
      <c r="C18" s="11">
        <v>7</v>
      </c>
      <c r="D18" s="11">
        <v>10</v>
      </c>
    </row>
    <row r="19" spans="1:4" x14ac:dyDescent="0.3">
      <c r="A19" s="14" t="s">
        <v>754</v>
      </c>
      <c r="B19" s="11">
        <v>2</v>
      </c>
      <c r="C19" s="11">
        <v>3</v>
      </c>
      <c r="D19" s="11">
        <v>5</v>
      </c>
    </row>
    <row r="20" spans="1:4" x14ac:dyDescent="0.3">
      <c r="A20" s="14" t="s">
        <v>755</v>
      </c>
      <c r="B20" s="11">
        <v>6</v>
      </c>
      <c r="C20" s="11"/>
      <c r="D20" s="11">
        <v>6</v>
      </c>
    </row>
    <row r="21" spans="1:4" x14ac:dyDescent="0.3">
      <c r="A21" s="14" t="s">
        <v>756</v>
      </c>
      <c r="B21" s="11">
        <v>5</v>
      </c>
      <c r="C21" s="11"/>
      <c r="D21" s="11">
        <v>5</v>
      </c>
    </row>
    <row r="22" spans="1:4" x14ac:dyDescent="0.3">
      <c r="A22" s="14" t="s">
        <v>757</v>
      </c>
      <c r="B22" s="11">
        <v>1</v>
      </c>
      <c r="C22" s="11"/>
      <c r="D22" s="11">
        <v>1</v>
      </c>
    </row>
    <row r="23" spans="1:4" x14ac:dyDescent="0.3">
      <c r="A23" s="14" t="s">
        <v>758</v>
      </c>
      <c r="B23" s="11">
        <v>1</v>
      </c>
      <c r="C23" s="11">
        <v>3</v>
      </c>
      <c r="D23" s="11">
        <v>4</v>
      </c>
    </row>
    <row r="24" spans="1:4" x14ac:dyDescent="0.3">
      <c r="A24" s="14" t="s">
        <v>759</v>
      </c>
      <c r="B24" s="11">
        <v>1</v>
      </c>
      <c r="C24" s="11">
        <v>1</v>
      </c>
      <c r="D24" s="11">
        <v>2</v>
      </c>
    </row>
    <row r="25" spans="1:4" x14ac:dyDescent="0.3">
      <c r="A25" s="14" t="s">
        <v>760</v>
      </c>
      <c r="B25" s="11">
        <v>2</v>
      </c>
      <c r="C25" s="11">
        <v>2</v>
      </c>
      <c r="D25" s="11">
        <v>4</v>
      </c>
    </row>
    <row r="26" spans="1:4" x14ac:dyDescent="0.3">
      <c r="A26" s="14" t="s">
        <v>761</v>
      </c>
      <c r="B26" s="11">
        <v>4</v>
      </c>
      <c r="C26" s="11">
        <v>1</v>
      </c>
      <c r="D26" s="11">
        <v>5</v>
      </c>
    </row>
    <row r="27" spans="1:4" x14ac:dyDescent="0.3">
      <c r="A27" s="14" t="s">
        <v>762</v>
      </c>
      <c r="B27" s="11">
        <v>3</v>
      </c>
      <c r="C27" s="11">
        <v>1</v>
      </c>
      <c r="D27" s="11">
        <v>4</v>
      </c>
    </row>
    <row r="28" spans="1:4" x14ac:dyDescent="0.3">
      <c r="A28" s="14" t="s">
        <v>763</v>
      </c>
      <c r="B28" s="11">
        <v>2</v>
      </c>
      <c r="C28" s="11">
        <v>3</v>
      </c>
      <c r="D28" s="11">
        <v>5</v>
      </c>
    </row>
    <row r="29" spans="1:4" x14ac:dyDescent="0.3">
      <c r="A29" s="14" t="s">
        <v>764</v>
      </c>
      <c r="B29" s="11">
        <v>1</v>
      </c>
      <c r="C29" s="11">
        <v>2</v>
      </c>
      <c r="D29" s="11">
        <v>3</v>
      </c>
    </row>
    <row r="30" spans="1:4" x14ac:dyDescent="0.3">
      <c r="A30" s="14" t="s">
        <v>765</v>
      </c>
      <c r="B30" s="11">
        <v>2</v>
      </c>
      <c r="C30" s="11">
        <v>3</v>
      </c>
      <c r="D30" s="11">
        <v>5</v>
      </c>
    </row>
    <row r="31" spans="1:4" x14ac:dyDescent="0.3">
      <c r="A31" s="14" t="s">
        <v>766</v>
      </c>
      <c r="B31" s="11">
        <v>6</v>
      </c>
      <c r="C31" s="11">
        <v>1</v>
      </c>
      <c r="D31" s="11">
        <v>7</v>
      </c>
    </row>
    <row r="32" spans="1:4" x14ac:dyDescent="0.3">
      <c r="A32" s="14" t="s">
        <v>767</v>
      </c>
      <c r="B32" s="11">
        <v>3</v>
      </c>
      <c r="C32" s="11">
        <v>1</v>
      </c>
      <c r="D32" s="11">
        <v>4</v>
      </c>
    </row>
    <row r="33" spans="1:4" x14ac:dyDescent="0.3">
      <c r="A33" s="14" t="s">
        <v>768</v>
      </c>
      <c r="B33" s="11">
        <v>3</v>
      </c>
      <c r="C33" s="11">
        <v>5</v>
      </c>
      <c r="D33" s="11">
        <v>8</v>
      </c>
    </row>
    <row r="34" spans="1:4" x14ac:dyDescent="0.3">
      <c r="A34" s="14" t="s">
        <v>769</v>
      </c>
      <c r="B34" s="11">
        <v>3</v>
      </c>
      <c r="C34" s="11"/>
      <c r="D34" s="11">
        <v>3</v>
      </c>
    </row>
    <row r="35" spans="1:4" x14ac:dyDescent="0.3">
      <c r="A35" s="14" t="s">
        <v>770</v>
      </c>
      <c r="B35" s="11">
        <v>1</v>
      </c>
      <c r="C35" s="11">
        <v>1</v>
      </c>
      <c r="D35" s="11">
        <v>2</v>
      </c>
    </row>
    <row r="36" spans="1:4" x14ac:dyDescent="0.3">
      <c r="A36" s="14" t="s">
        <v>771</v>
      </c>
      <c r="B36" s="11">
        <v>6</v>
      </c>
      <c r="C36" s="11">
        <v>2</v>
      </c>
      <c r="D36" s="11">
        <v>8</v>
      </c>
    </row>
    <row r="37" spans="1:4" x14ac:dyDescent="0.3">
      <c r="A37" s="14" t="s">
        <v>772</v>
      </c>
      <c r="B37" s="11">
        <v>1</v>
      </c>
      <c r="C37" s="11">
        <v>3</v>
      </c>
      <c r="D37" s="11">
        <v>4</v>
      </c>
    </row>
    <row r="38" spans="1:4" x14ac:dyDescent="0.3">
      <c r="A38" s="14" t="s">
        <v>773</v>
      </c>
      <c r="B38" s="11">
        <v>2</v>
      </c>
      <c r="C38" s="11">
        <v>1</v>
      </c>
      <c r="D38" s="11">
        <v>3</v>
      </c>
    </row>
    <row r="39" spans="1:4" x14ac:dyDescent="0.3">
      <c r="A39" s="14" t="s">
        <v>774</v>
      </c>
      <c r="B39" s="11">
        <v>3</v>
      </c>
      <c r="C39" s="11">
        <v>3</v>
      </c>
      <c r="D39" s="11">
        <v>6</v>
      </c>
    </row>
    <row r="40" spans="1:4" x14ac:dyDescent="0.3">
      <c r="A40" s="14" t="s">
        <v>775</v>
      </c>
      <c r="B40" s="11">
        <v>3</v>
      </c>
      <c r="C40" s="11">
        <v>2</v>
      </c>
      <c r="D40" s="11">
        <v>5</v>
      </c>
    </row>
    <row r="41" spans="1:4" x14ac:dyDescent="0.3">
      <c r="A41" s="14" t="s">
        <v>776</v>
      </c>
      <c r="B41" s="11">
        <v>4</v>
      </c>
      <c r="C41" s="11">
        <v>2</v>
      </c>
      <c r="D41" s="11">
        <v>6</v>
      </c>
    </row>
    <row r="42" spans="1:4" x14ac:dyDescent="0.3">
      <c r="A42" s="14" t="s">
        <v>777</v>
      </c>
      <c r="B42" s="11">
        <v>5</v>
      </c>
      <c r="C42" s="11">
        <v>1</v>
      </c>
      <c r="D42" s="11">
        <v>6</v>
      </c>
    </row>
    <row r="43" spans="1:4" x14ac:dyDescent="0.3">
      <c r="A43" s="14" t="s">
        <v>778</v>
      </c>
      <c r="B43" s="11">
        <v>4</v>
      </c>
      <c r="C43" s="11"/>
      <c r="D43" s="11">
        <v>4</v>
      </c>
    </row>
    <row r="44" spans="1:4" x14ac:dyDescent="0.3">
      <c r="A44" s="14" t="s">
        <v>779</v>
      </c>
      <c r="B44" s="11">
        <v>4</v>
      </c>
      <c r="C44" s="11">
        <v>1</v>
      </c>
      <c r="D44" s="11">
        <v>5</v>
      </c>
    </row>
    <row r="45" spans="1:4" x14ac:dyDescent="0.3">
      <c r="A45" s="14" t="s">
        <v>780</v>
      </c>
      <c r="B45" s="11">
        <v>1</v>
      </c>
      <c r="C45" s="11"/>
      <c r="D45" s="11">
        <v>1</v>
      </c>
    </row>
    <row r="46" spans="1:4" x14ac:dyDescent="0.3">
      <c r="A46" s="14" t="s">
        <v>781</v>
      </c>
      <c r="B46" s="11">
        <v>3</v>
      </c>
      <c r="C46" s="11"/>
      <c r="D46" s="11">
        <v>3</v>
      </c>
    </row>
    <row r="47" spans="1:4" x14ac:dyDescent="0.3">
      <c r="A47" s="14" t="s">
        <v>782</v>
      </c>
      <c r="B47" s="11"/>
      <c r="C47" s="11">
        <v>4</v>
      </c>
      <c r="D47" s="11">
        <v>4</v>
      </c>
    </row>
    <row r="48" spans="1:4" x14ac:dyDescent="0.3">
      <c r="A48" s="14" t="s">
        <v>783</v>
      </c>
      <c r="B48" s="11">
        <v>1</v>
      </c>
      <c r="C48" s="11"/>
      <c r="D48" s="11">
        <v>1</v>
      </c>
    </row>
    <row r="49" spans="1:4" x14ac:dyDescent="0.3">
      <c r="A49" s="14" t="s">
        <v>784</v>
      </c>
      <c r="B49" s="11">
        <v>3</v>
      </c>
      <c r="C49" s="11">
        <v>2</v>
      </c>
      <c r="D49" s="11">
        <v>5</v>
      </c>
    </row>
    <row r="50" spans="1:4" x14ac:dyDescent="0.3">
      <c r="A50" s="14" t="s">
        <v>785</v>
      </c>
      <c r="B50" s="11">
        <v>1</v>
      </c>
      <c r="C50" s="11">
        <v>2</v>
      </c>
      <c r="D50" s="11">
        <v>3</v>
      </c>
    </row>
    <row r="51" spans="1:4" x14ac:dyDescent="0.3">
      <c r="A51" s="14" t="s">
        <v>786</v>
      </c>
      <c r="B51" s="11">
        <v>1</v>
      </c>
      <c r="C51" s="11">
        <v>4</v>
      </c>
      <c r="D51" s="11">
        <v>5</v>
      </c>
    </row>
    <row r="52" spans="1:4" x14ac:dyDescent="0.3">
      <c r="A52" s="14" t="s">
        <v>787</v>
      </c>
      <c r="B52" s="11">
        <v>1</v>
      </c>
      <c r="C52" s="11"/>
      <c r="D52" s="11">
        <v>1</v>
      </c>
    </row>
    <row r="53" spans="1:4" x14ac:dyDescent="0.3">
      <c r="A53" s="14" t="s">
        <v>788</v>
      </c>
      <c r="B53" s="11">
        <v>1</v>
      </c>
      <c r="C53" s="11">
        <v>1</v>
      </c>
      <c r="D53" s="11">
        <v>2</v>
      </c>
    </row>
    <row r="54" spans="1:4" x14ac:dyDescent="0.3">
      <c r="A54" s="14" t="s">
        <v>789</v>
      </c>
      <c r="B54" s="11">
        <v>1</v>
      </c>
      <c r="C54" s="11"/>
      <c r="D54" s="11">
        <v>1</v>
      </c>
    </row>
    <row r="55" spans="1:4" x14ac:dyDescent="0.3">
      <c r="A55" s="14" t="s">
        <v>790</v>
      </c>
      <c r="B55" s="11">
        <v>3</v>
      </c>
      <c r="C55" s="11">
        <v>1</v>
      </c>
      <c r="D55" s="11">
        <v>4</v>
      </c>
    </row>
    <row r="56" spans="1:4" x14ac:dyDescent="0.3">
      <c r="A56" s="14" t="s">
        <v>791</v>
      </c>
      <c r="B56" s="11">
        <v>2</v>
      </c>
      <c r="C56" s="11">
        <v>1</v>
      </c>
      <c r="D56" s="11">
        <v>3</v>
      </c>
    </row>
    <row r="57" spans="1:4" x14ac:dyDescent="0.3">
      <c r="A57" s="14" t="s">
        <v>792</v>
      </c>
      <c r="B57" s="11"/>
      <c r="C57" s="11">
        <v>1</v>
      </c>
      <c r="D57" s="11">
        <v>1</v>
      </c>
    </row>
    <row r="58" spans="1:4" x14ac:dyDescent="0.3">
      <c r="A58" s="14" t="s">
        <v>793</v>
      </c>
      <c r="B58" s="11">
        <v>1</v>
      </c>
      <c r="C58" s="11"/>
      <c r="D58" s="11">
        <v>1</v>
      </c>
    </row>
    <row r="59" spans="1:4" x14ac:dyDescent="0.3">
      <c r="A59" s="14" t="s">
        <v>794</v>
      </c>
      <c r="B59" s="11">
        <v>3</v>
      </c>
      <c r="C59" s="11"/>
      <c r="D59" s="11">
        <v>3</v>
      </c>
    </row>
    <row r="60" spans="1:4" x14ac:dyDescent="0.3">
      <c r="A60" s="14" t="s">
        <v>795</v>
      </c>
      <c r="B60" s="11">
        <v>3</v>
      </c>
      <c r="C60" s="11">
        <v>3</v>
      </c>
      <c r="D60" s="11">
        <v>6</v>
      </c>
    </row>
    <row r="61" spans="1:4" x14ac:dyDescent="0.3">
      <c r="A61" s="14" t="s">
        <v>796</v>
      </c>
      <c r="B61" s="11">
        <v>3</v>
      </c>
      <c r="C61" s="11">
        <v>3</v>
      </c>
      <c r="D61" s="11">
        <v>6</v>
      </c>
    </row>
    <row r="62" spans="1:4" x14ac:dyDescent="0.3">
      <c r="A62" s="14" t="s">
        <v>797</v>
      </c>
      <c r="B62" s="11">
        <v>1</v>
      </c>
      <c r="C62" s="11">
        <v>1</v>
      </c>
      <c r="D62" s="11">
        <v>2</v>
      </c>
    </row>
    <row r="63" spans="1:4" x14ac:dyDescent="0.3">
      <c r="A63" s="14" t="s">
        <v>798</v>
      </c>
      <c r="B63" s="11">
        <v>1</v>
      </c>
      <c r="C63" s="11">
        <v>3</v>
      </c>
      <c r="D63" s="11">
        <v>4</v>
      </c>
    </row>
    <row r="64" spans="1:4" x14ac:dyDescent="0.3">
      <c r="A64" s="14" t="s">
        <v>799</v>
      </c>
      <c r="B64" s="11">
        <v>3</v>
      </c>
      <c r="C64" s="11">
        <v>1</v>
      </c>
      <c r="D64" s="11">
        <v>4</v>
      </c>
    </row>
    <row r="65" spans="1:4" x14ac:dyDescent="0.3">
      <c r="A65" s="14" t="s">
        <v>800</v>
      </c>
      <c r="B65" s="11">
        <v>1</v>
      </c>
      <c r="C65" s="11">
        <v>4</v>
      </c>
      <c r="D65" s="11">
        <v>5</v>
      </c>
    </row>
    <row r="66" spans="1:4" x14ac:dyDescent="0.3">
      <c r="A66" s="14" t="s">
        <v>801</v>
      </c>
      <c r="B66" s="11">
        <v>1</v>
      </c>
      <c r="C66" s="11"/>
      <c r="D66" s="11">
        <v>1</v>
      </c>
    </row>
    <row r="67" spans="1:4" x14ac:dyDescent="0.3">
      <c r="A67" s="14" t="s">
        <v>802</v>
      </c>
      <c r="B67" s="11">
        <v>1</v>
      </c>
      <c r="C67" s="11">
        <v>3</v>
      </c>
      <c r="D67" s="11">
        <v>4</v>
      </c>
    </row>
    <row r="68" spans="1:4" x14ac:dyDescent="0.3">
      <c r="A68" s="14" t="s">
        <v>803</v>
      </c>
      <c r="B68" s="11">
        <v>2</v>
      </c>
      <c r="C68" s="11"/>
      <c r="D68" s="11">
        <v>2</v>
      </c>
    </row>
    <row r="69" spans="1:4" x14ac:dyDescent="0.3">
      <c r="A69" s="14" t="s">
        <v>804</v>
      </c>
      <c r="B69" s="11">
        <v>2</v>
      </c>
      <c r="C69" s="11"/>
      <c r="D69" s="11">
        <v>2</v>
      </c>
    </row>
    <row r="70" spans="1:4" x14ac:dyDescent="0.3">
      <c r="A70" s="14" t="s">
        <v>805</v>
      </c>
      <c r="B70" s="11">
        <v>2</v>
      </c>
      <c r="C70" s="11">
        <v>2</v>
      </c>
      <c r="D70" s="11">
        <v>4</v>
      </c>
    </row>
    <row r="71" spans="1:4" x14ac:dyDescent="0.3">
      <c r="A71" s="14" t="s">
        <v>806</v>
      </c>
      <c r="B71" s="11">
        <v>2</v>
      </c>
      <c r="C71" s="11"/>
      <c r="D71" s="11">
        <v>2</v>
      </c>
    </row>
    <row r="72" spans="1:4" x14ac:dyDescent="0.3">
      <c r="A72" s="14" t="s">
        <v>807</v>
      </c>
      <c r="B72" s="11"/>
      <c r="C72" s="11">
        <v>1</v>
      </c>
      <c r="D72" s="11">
        <v>1</v>
      </c>
    </row>
    <row r="73" spans="1:4" x14ac:dyDescent="0.3">
      <c r="A73" s="14" t="s">
        <v>808</v>
      </c>
      <c r="B73" s="11">
        <v>2</v>
      </c>
      <c r="C73" s="11">
        <v>1</v>
      </c>
      <c r="D73" s="11">
        <v>3</v>
      </c>
    </row>
    <row r="74" spans="1:4" x14ac:dyDescent="0.3">
      <c r="A74" s="14" t="s">
        <v>809</v>
      </c>
      <c r="B74" s="11">
        <v>4</v>
      </c>
      <c r="C74" s="11">
        <v>1</v>
      </c>
      <c r="D74" s="11">
        <v>5</v>
      </c>
    </row>
    <row r="75" spans="1:4" x14ac:dyDescent="0.3">
      <c r="A75" s="14" t="s">
        <v>810</v>
      </c>
      <c r="B75" s="11">
        <v>1</v>
      </c>
      <c r="C75" s="11"/>
      <c r="D75" s="11">
        <v>1</v>
      </c>
    </row>
    <row r="76" spans="1:4" x14ac:dyDescent="0.3">
      <c r="A76" s="14" t="s">
        <v>811</v>
      </c>
      <c r="B76" s="11">
        <v>2</v>
      </c>
      <c r="C76" s="11">
        <v>1</v>
      </c>
      <c r="D76" s="11">
        <v>3</v>
      </c>
    </row>
    <row r="77" spans="1:4" x14ac:dyDescent="0.3">
      <c r="A77" s="14" t="s">
        <v>812</v>
      </c>
      <c r="B77" s="11">
        <v>1</v>
      </c>
      <c r="C77" s="11">
        <v>2</v>
      </c>
      <c r="D77" s="11">
        <v>3</v>
      </c>
    </row>
    <row r="78" spans="1:4" x14ac:dyDescent="0.3">
      <c r="A78" s="14" t="s">
        <v>813</v>
      </c>
      <c r="B78" s="11">
        <v>1</v>
      </c>
      <c r="C78" s="11">
        <v>1</v>
      </c>
      <c r="D78" s="11">
        <v>2</v>
      </c>
    </row>
    <row r="79" spans="1:4" x14ac:dyDescent="0.3">
      <c r="A79" s="14" t="s">
        <v>814</v>
      </c>
      <c r="B79" s="11">
        <v>1</v>
      </c>
      <c r="C79" s="11"/>
      <c r="D79" s="11">
        <v>1</v>
      </c>
    </row>
    <row r="80" spans="1:4" x14ac:dyDescent="0.3">
      <c r="A80" s="14" t="s">
        <v>815</v>
      </c>
      <c r="B80" s="11">
        <v>1</v>
      </c>
      <c r="C80" s="11"/>
      <c r="D80" s="11">
        <v>1</v>
      </c>
    </row>
    <row r="81" spans="1:4" x14ac:dyDescent="0.3">
      <c r="A81" s="14" t="s">
        <v>816</v>
      </c>
      <c r="B81" s="11">
        <v>1</v>
      </c>
      <c r="C81" s="11"/>
      <c r="D81" s="11">
        <v>1</v>
      </c>
    </row>
    <row r="82" spans="1:4" x14ac:dyDescent="0.3">
      <c r="A82" s="14" t="s">
        <v>817</v>
      </c>
      <c r="B82" s="11">
        <v>2</v>
      </c>
      <c r="C82" s="11">
        <v>1</v>
      </c>
      <c r="D82" s="11">
        <v>3</v>
      </c>
    </row>
    <row r="83" spans="1:4" x14ac:dyDescent="0.3">
      <c r="A83" s="14" t="s">
        <v>818</v>
      </c>
      <c r="B83" s="11">
        <v>1</v>
      </c>
      <c r="C83" s="11"/>
      <c r="D83" s="11">
        <v>1</v>
      </c>
    </row>
    <row r="84" spans="1:4" x14ac:dyDescent="0.3">
      <c r="A84" s="14" t="s">
        <v>819</v>
      </c>
      <c r="B84" s="11">
        <v>1</v>
      </c>
      <c r="C84" s="11">
        <v>1</v>
      </c>
      <c r="D84" s="11">
        <v>2</v>
      </c>
    </row>
    <row r="85" spans="1:4" x14ac:dyDescent="0.3">
      <c r="A85" s="14" t="s">
        <v>820</v>
      </c>
      <c r="B85" s="11"/>
      <c r="C85" s="11">
        <v>1</v>
      </c>
      <c r="D85" s="11">
        <v>1</v>
      </c>
    </row>
    <row r="86" spans="1:4" x14ac:dyDescent="0.3">
      <c r="A86" s="14" t="s">
        <v>821</v>
      </c>
      <c r="B86" s="11">
        <v>1</v>
      </c>
      <c r="C86" s="11"/>
      <c r="D86" s="11">
        <v>1</v>
      </c>
    </row>
    <row r="87" spans="1:4" x14ac:dyDescent="0.3">
      <c r="A87" s="14" t="s">
        <v>822</v>
      </c>
      <c r="B87" s="11">
        <v>1</v>
      </c>
      <c r="C87" s="11">
        <v>1</v>
      </c>
      <c r="D87" s="11">
        <v>2</v>
      </c>
    </row>
    <row r="88" spans="1:4" x14ac:dyDescent="0.3">
      <c r="A88" s="14" t="s">
        <v>823</v>
      </c>
      <c r="B88" s="11">
        <v>1</v>
      </c>
      <c r="C88" s="11"/>
      <c r="D88" s="11">
        <v>1</v>
      </c>
    </row>
    <row r="89" spans="1:4" x14ac:dyDescent="0.3">
      <c r="A89" s="14" t="s">
        <v>824</v>
      </c>
      <c r="B89" s="11">
        <v>1</v>
      </c>
      <c r="C89" s="11"/>
      <c r="D89" s="11">
        <v>1</v>
      </c>
    </row>
    <row r="90" spans="1:4" x14ac:dyDescent="0.3">
      <c r="A90" s="14" t="s">
        <v>825</v>
      </c>
      <c r="B90" s="11">
        <v>2</v>
      </c>
      <c r="C90" s="11">
        <v>1</v>
      </c>
      <c r="D90" s="11">
        <v>3</v>
      </c>
    </row>
    <row r="91" spans="1:4" x14ac:dyDescent="0.3">
      <c r="A91" s="14" t="s">
        <v>826</v>
      </c>
      <c r="B91" s="11">
        <v>5</v>
      </c>
      <c r="C91" s="11">
        <v>2</v>
      </c>
      <c r="D91" s="11">
        <v>7</v>
      </c>
    </row>
    <row r="92" spans="1:4" x14ac:dyDescent="0.3">
      <c r="A92" s="14" t="s">
        <v>827</v>
      </c>
      <c r="B92" s="11">
        <v>2</v>
      </c>
      <c r="C92" s="11">
        <v>1</v>
      </c>
      <c r="D92" s="11">
        <v>3</v>
      </c>
    </row>
    <row r="93" spans="1:4" x14ac:dyDescent="0.3">
      <c r="A93" s="14" t="s">
        <v>828</v>
      </c>
      <c r="B93" s="11">
        <v>2</v>
      </c>
      <c r="C93" s="11"/>
      <c r="D93" s="11">
        <v>2</v>
      </c>
    </row>
    <row r="94" spans="1:4" x14ac:dyDescent="0.3">
      <c r="A94" s="14" t="s">
        <v>829</v>
      </c>
      <c r="B94" s="11">
        <v>1</v>
      </c>
      <c r="C94" s="11"/>
      <c r="D94" s="11">
        <v>1</v>
      </c>
    </row>
    <row r="95" spans="1:4" x14ac:dyDescent="0.3">
      <c r="A95" s="14" t="s">
        <v>830</v>
      </c>
      <c r="B95" s="11">
        <v>2</v>
      </c>
      <c r="C95" s="11">
        <v>1</v>
      </c>
      <c r="D95" s="11">
        <v>3</v>
      </c>
    </row>
    <row r="96" spans="1:4" x14ac:dyDescent="0.3">
      <c r="A96" s="14" t="s">
        <v>831</v>
      </c>
      <c r="B96" s="11">
        <v>1</v>
      </c>
      <c r="C96" s="11"/>
      <c r="D96" s="11">
        <v>1</v>
      </c>
    </row>
    <row r="97" spans="1:4" x14ac:dyDescent="0.3">
      <c r="A97" s="14" t="s">
        <v>832</v>
      </c>
      <c r="B97" s="11">
        <v>2</v>
      </c>
      <c r="C97" s="11"/>
      <c r="D97" s="11">
        <v>2</v>
      </c>
    </row>
    <row r="98" spans="1:4" x14ac:dyDescent="0.3">
      <c r="A98" s="14" t="s">
        <v>833</v>
      </c>
      <c r="B98" s="11">
        <v>1</v>
      </c>
      <c r="C98" s="11">
        <v>2</v>
      </c>
      <c r="D98" s="11">
        <v>3</v>
      </c>
    </row>
    <row r="99" spans="1:4" x14ac:dyDescent="0.3">
      <c r="A99" s="14" t="s">
        <v>834</v>
      </c>
      <c r="B99" s="11">
        <v>1</v>
      </c>
      <c r="C99" s="11">
        <v>1</v>
      </c>
      <c r="D99" s="11">
        <v>2</v>
      </c>
    </row>
    <row r="100" spans="1:4" x14ac:dyDescent="0.3">
      <c r="A100" s="14" t="s">
        <v>835</v>
      </c>
      <c r="B100" s="11"/>
      <c r="C100" s="11">
        <v>1</v>
      </c>
      <c r="D100" s="11">
        <v>1</v>
      </c>
    </row>
    <row r="101" spans="1:4" x14ac:dyDescent="0.3">
      <c r="A101" s="14" t="s">
        <v>836</v>
      </c>
      <c r="B101" s="11">
        <v>2</v>
      </c>
      <c r="C101" s="11">
        <v>1</v>
      </c>
      <c r="D101" s="11">
        <v>3</v>
      </c>
    </row>
    <row r="102" spans="1:4" x14ac:dyDescent="0.3">
      <c r="A102" s="14" t="s">
        <v>837</v>
      </c>
      <c r="B102" s="11">
        <v>3</v>
      </c>
      <c r="C102" s="11"/>
      <c r="D102" s="11">
        <v>3</v>
      </c>
    </row>
    <row r="103" spans="1:4" x14ac:dyDescent="0.3">
      <c r="A103" s="14" t="s">
        <v>838</v>
      </c>
      <c r="B103" s="11">
        <v>1</v>
      </c>
      <c r="C103" s="11"/>
      <c r="D103" s="11">
        <v>1</v>
      </c>
    </row>
    <row r="104" spans="1:4" x14ac:dyDescent="0.3">
      <c r="A104" s="14" t="s">
        <v>839</v>
      </c>
      <c r="B104" s="11">
        <v>2</v>
      </c>
      <c r="C104" s="11">
        <v>2</v>
      </c>
      <c r="D104" s="11">
        <v>4</v>
      </c>
    </row>
    <row r="105" spans="1:4" x14ac:dyDescent="0.3">
      <c r="A105" s="14" t="s">
        <v>840</v>
      </c>
      <c r="B105" s="11"/>
      <c r="C105" s="11">
        <v>1</v>
      </c>
      <c r="D105" s="11">
        <v>1</v>
      </c>
    </row>
    <row r="106" spans="1:4" x14ac:dyDescent="0.3">
      <c r="A106" s="14" t="s">
        <v>841</v>
      </c>
      <c r="B106" s="11">
        <v>1</v>
      </c>
      <c r="C106" s="11">
        <v>1</v>
      </c>
      <c r="D106" s="11">
        <v>2</v>
      </c>
    </row>
    <row r="107" spans="1:4" x14ac:dyDescent="0.3">
      <c r="A107" s="14" t="s">
        <v>842</v>
      </c>
      <c r="B107" s="11">
        <v>1</v>
      </c>
      <c r="C107" s="11"/>
      <c r="D107" s="11">
        <v>1</v>
      </c>
    </row>
    <row r="108" spans="1:4" x14ac:dyDescent="0.3">
      <c r="A108" s="14" t="s">
        <v>843</v>
      </c>
      <c r="B108" s="11">
        <v>1</v>
      </c>
      <c r="C108" s="11"/>
      <c r="D108" s="11">
        <v>1</v>
      </c>
    </row>
    <row r="109" spans="1:4" x14ac:dyDescent="0.3">
      <c r="A109" s="14" t="s">
        <v>844</v>
      </c>
      <c r="B109" s="11">
        <v>2</v>
      </c>
      <c r="C109" s="11">
        <v>2</v>
      </c>
      <c r="D109" s="11">
        <v>4</v>
      </c>
    </row>
    <row r="110" spans="1:4" x14ac:dyDescent="0.3">
      <c r="A110" s="14" t="s">
        <v>845</v>
      </c>
      <c r="B110" s="11">
        <v>2</v>
      </c>
      <c r="C110" s="11">
        <v>1</v>
      </c>
      <c r="D110" s="11">
        <v>3</v>
      </c>
    </row>
    <row r="111" spans="1:4" x14ac:dyDescent="0.3">
      <c r="A111" s="14" t="s">
        <v>846</v>
      </c>
      <c r="B111" s="11">
        <v>2</v>
      </c>
      <c r="C111" s="11"/>
      <c r="D111" s="11">
        <v>2</v>
      </c>
    </row>
    <row r="112" spans="1:4" x14ac:dyDescent="0.3">
      <c r="A112" s="14" t="s">
        <v>847</v>
      </c>
      <c r="B112" s="11">
        <v>1</v>
      </c>
      <c r="C112" s="11"/>
      <c r="D112" s="11">
        <v>1</v>
      </c>
    </row>
    <row r="113" spans="1:4" x14ac:dyDescent="0.3">
      <c r="A113" s="14" t="s">
        <v>848</v>
      </c>
      <c r="B113" s="11">
        <v>3</v>
      </c>
      <c r="C113" s="11">
        <v>1</v>
      </c>
      <c r="D113" s="11">
        <v>4</v>
      </c>
    </row>
    <row r="114" spans="1:4" x14ac:dyDescent="0.3">
      <c r="A114" s="14" t="s">
        <v>849</v>
      </c>
      <c r="B114" s="11">
        <v>5</v>
      </c>
      <c r="C114" s="11"/>
      <c r="D114" s="11">
        <v>5</v>
      </c>
    </row>
    <row r="115" spans="1:4" x14ac:dyDescent="0.3">
      <c r="A115" s="14" t="s">
        <v>850</v>
      </c>
      <c r="B115" s="11">
        <v>1</v>
      </c>
      <c r="C115" s="11">
        <v>2</v>
      </c>
      <c r="D115" s="11">
        <v>3</v>
      </c>
    </row>
    <row r="116" spans="1:4" x14ac:dyDescent="0.3">
      <c r="A116" s="14" t="s">
        <v>851</v>
      </c>
      <c r="B116" s="11">
        <v>1</v>
      </c>
      <c r="C116" s="11"/>
      <c r="D116" s="11">
        <v>1</v>
      </c>
    </row>
    <row r="117" spans="1:4" x14ac:dyDescent="0.3">
      <c r="A117" s="14" t="s">
        <v>852</v>
      </c>
      <c r="B117" s="11">
        <v>1</v>
      </c>
      <c r="C117" s="11">
        <v>1</v>
      </c>
      <c r="D117" s="11">
        <v>2</v>
      </c>
    </row>
    <row r="118" spans="1:4" x14ac:dyDescent="0.3">
      <c r="A118" s="14" t="s">
        <v>853</v>
      </c>
      <c r="B118" s="11">
        <v>1</v>
      </c>
      <c r="C118" s="11"/>
      <c r="D118" s="11">
        <v>1</v>
      </c>
    </row>
    <row r="119" spans="1:4" x14ac:dyDescent="0.3">
      <c r="A119" s="14" t="s">
        <v>854</v>
      </c>
      <c r="B119" s="11">
        <v>1</v>
      </c>
      <c r="C119" s="11"/>
      <c r="D119" s="11">
        <v>1</v>
      </c>
    </row>
    <row r="120" spans="1:4" x14ac:dyDescent="0.3">
      <c r="A120" s="14" t="s">
        <v>855</v>
      </c>
      <c r="B120" s="11">
        <v>2</v>
      </c>
      <c r="C120" s="11"/>
      <c r="D120" s="11">
        <v>2</v>
      </c>
    </row>
    <row r="121" spans="1:4" x14ac:dyDescent="0.3">
      <c r="A121" s="14" t="s">
        <v>856</v>
      </c>
      <c r="B121" s="11">
        <v>2</v>
      </c>
      <c r="C121" s="11">
        <v>1</v>
      </c>
      <c r="D121" s="11">
        <v>3</v>
      </c>
    </row>
    <row r="122" spans="1:4" x14ac:dyDescent="0.3">
      <c r="A122" s="14" t="s">
        <v>857</v>
      </c>
      <c r="B122" s="11">
        <v>2</v>
      </c>
      <c r="C122" s="11">
        <v>1</v>
      </c>
      <c r="D122" s="11">
        <v>3</v>
      </c>
    </row>
    <row r="123" spans="1:4" x14ac:dyDescent="0.3">
      <c r="A123" s="14" t="s">
        <v>858</v>
      </c>
      <c r="B123" s="11">
        <v>2</v>
      </c>
      <c r="C123" s="11">
        <v>1</v>
      </c>
      <c r="D123" s="11">
        <v>3</v>
      </c>
    </row>
    <row r="124" spans="1:4" x14ac:dyDescent="0.3">
      <c r="A124" s="14" t="s">
        <v>859</v>
      </c>
      <c r="B124" s="11">
        <v>1</v>
      </c>
      <c r="C124" s="11"/>
      <c r="D124" s="11">
        <v>1</v>
      </c>
    </row>
    <row r="125" spans="1:4" x14ac:dyDescent="0.3">
      <c r="A125" s="14" t="s">
        <v>860</v>
      </c>
      <c r="B125" s="11">
        <v>1</v>
      </c>
      <c r="C125" s="11">
        <v>1</v>
      </c>
      <c r="D125" s="11">
        <v>2</v>
      </c>
    </row>
    <row r="126" spans="1:4" x14ac:dyDescent="0.3">
      <c r="A126" s="14" t="s">
        <v>861</v>
      </c>
      <c r="B126" s="11">
        <v>1</v>
      </c>
      <c r="C126" s="11"/>
      <c r="D126" s="11">
        <v>1</v>
      </c>
    </row>
    <row r="127" spans="1:4" x14ac:dyDescent="0.3">
      <c r="A127" s="14" t="s">
        <v>862</v>
      </c>
      <c r="B127" s="11">
        <v>2</v>
      </c>
      <c r="C127" s="11"/>
      <c r="D127" s="11">
        <v>2</v>
      </c>
    </row>
    <row r="128" spans="1:4" x14ac:dyDescent="0.3">
      <c r="A128" s="14" t="s">
        <v>863</v>
      </c>
      <c r="B128" s="11">
        <v>1</v>
      </c>
      <c r="C128" s="11"/>
      <c r="D128" s="11">
        <v>1</v>
      </c>
    </row>
    <row r="129" spans="1:4" x14ac:dyDescent="0.3">
      <c r="A129" s="14" t="s">
        <v>864</v>
      </c>
      <c r="B129" s="11"/>
      <c r="C129" s="11">
        <v>1</v>
      </c>
      <c r="D129" s="11">
        <v>1</v>
      </c>
    </row>
    <row r="130" spans="1:4" x14ac:dyDescent="0.3">
      <c r="A130" s="14" t="s">
        <v>865</v>
      </c>
      <c r="B130" s="11">
        <v>1</v>
      </c>
      <c r="C130" s="11"/>
      <c r="D130" s="11">
        <v>1</v>
      </c>
    </row>
    <row r="131" spans="1:4" x14ac:dyDescent="0.3">
      <c r="A131" s="14" t="s">
        <v>866</v>
      </c>
      <c r="B131" s="11">
        <v>1</v>
      </c>
      <c r="C131" s="11"/>
      <c r="D131" s="11">
        <v>1</v>
      </c>
    </row>
    <row r="132" spans="1:4" x14ac:dyDescent="0.3">
      <c r="A132" s="14" t="s">
        <v>867</v>
      </c>
      <c r="B132" s="11">
        <v>2</v>
      </c>
      <c r="C132" s="11">
        <v>1</v>
      </c>
      <c r="D132" s="11">
        <v>3</v>
      </c>
    </row>
    <row r="133" spans="1:4" x14ac:dyDescent="0.3">
      <c r="A133" s="14" t="s">
        <v>868</v>
      </c>
      <c r="B133" s="11">
        <v>1</v>
      </c>
      <c r="C133" s="11"/>
      <c r="D133" s="11">
        <v>1</v>
      </c>
    </row>
    <row r="134" spans="1:4" x14ac:dyDescent="0.3">
      <c r="A134" s="14" t="s">
        <v>869</v>
      </c>
      <c r="B134" s="11">
        <v>1</v>
      </c>
      <c r="C134" s="11"/>
      <c r="D134" s="11">
        <v>1</v>
      </c>
    </row>
    <row r="135" spans="1:4" x14ac:dyDescent="0.3">
      <c r="A135" s="14" t="s">
        <v>870</v>
      </c>
      <c r="B135" s="11"/>
      <c r="C135" s="11">
        <v>1</v>
      </c>
      <c r="D135" s="11">
        <v>1</v>
      </c>
    </row>
    <row r="136" spans="1:4" x14ac:dyDescent="0.3">
      <c r="A136" s="14" t="s">
        <v>871</v>
      </c>
      <c r="B136" s="11">
        <v>1</v>
      </c>
      <c r="C136" s="11"/>
      <c r="D136" s="11">
        <v>1</v>
      </c>
    </row>
    <row r="137" spans="1:4" x14ac:dyDescent="0.3">
      <c r="A137" s="14" t="s">
        <v>872</v>
      </c>
      <c r="B137" s="11">
        <v>2</v>
      </c>
      <c r="C137" s="11">
        <v>1</v>
      </c>
      <c r="D137" s="11">
        <v>3</v>
      </c>
    </row>
    <row r="138" spans="1:4" x14ac:dyDescent="0.3">
      <c r="A138" s="14" t="s">
        <v>873</v>
      </c>
      <c r="B138" s="11">
        <v>1</v>
      </c>
      <c r="C138" s="11"/>
      <c r="D138" s="11">
        <v>1</v>
      </c>
    </row>
    <row r="139" spans="1:4" x14ac:dyDescent="0.3">
      <c r="A139" s="14" t="s">
        <v>874</v>
      </c>
      <c r="B139" s="11">
        <v>1</v>
      </c>
      <c r="C139" s="11"/>
      <c r="D139" s="11">
        <v>1</v>
      </c>
    </row>
    <row r="140" spans="1:4" x14ac:dyDescent="0.3">
      <c r="A140" s="14" t="s">
        <v>875</v>
      </c>
      <c r="B140" s="11">
        <v>1</v>
      </c>
      <c r="C140" s="11">
        <v>2</v>
      </c>
      <c r="D140" s="11">
        <v>3</v>
      </c>
    </row>
    <row r="141" spans="1:4" x14ac:dyDescent="0.3">
      <c r="A141" s="14" t="s">
        <v>876</v>
      </c>
      <c r="B141" s="11">
        <v>1</v>
      </c>
      <c r="C141" s="11">
        <v>1</v>
      </c>
      <c r="D141" s="11">
        <v>2</v>
      </c>
    </row>
    <row r="142" spans="1:4" x14ac:dyDescent="0.3">
      <c r="A142" s="14" t="s">
        <v>877</v>
      </c>
      <c r="B142" s="11">
        <v>1</v>
      </c>
      <c r="C142" s="11">
        <v>1</v>
      </c>
      <c r="D142" s="11">
        <v>2</v>
      </c>
    </row>
    <row r="143" spans="1:4" x14ac:dyDescent="0.3">
      <c r="A143" s="14" t="s">
        <v>878</v>
      </c>
      <c r="B143" s="11">
        <v>2</v>
      </c>
      <c r="C143" s="11"/>
      <c r="D143" s="11">
        <v>2</v>
      </c>
    </row>
    <row r="144" spans="1:4" x14ac:dyDescent="0.3">
      <c r="A144" s="14" t="s">
        <v>879</v>
      </c>
      <c r="B144" s="11">
        <v>1</v>
      </c>
      <c r="C144" s="11">
        <v>1</v>
      </c>
      <c r="D144" s="11">
        <v>2</v>
      </c>
    </row>
    <row r="145" spans="1:4" x14ac:dyDescent="0.3">
      <c r="A145" s="14" t="s">
        <v>880</v>
      </c>
      <c r="B145" s="11">
        <v>1</v>
      </c>
      <c r="C145" s="11">
        <v>2</v>
      </c>
      <c r="D145" s="11">
        <v>3</v>
      </c>
    </row>
    <row r="146" spans="1:4" x14ac:dyDescent="0.3">
      <c r="A146" s="14" t="s">
        <v>881</v>
      </c>
      <c r="B146" s="11">
        <v>1</v>
      </c>
      <c r="C146" s="11"/>
      <c r="D146" s="11">
        <v>1</v>
      </c>
    </row>
    <row r="147" spans="1:4" x14ac:dyDescent="0.3">
      <c r="A147" s="14" t="s">
        <v>882</v>
      </c>
      <c r="B147" s="11"/>
      <c r="C147" s="11">
        <v>1</v>
      </c>
      <c r="D147" s="11">
        <v>1</v>
      </c>
    </row>
    <row r="148" spans="1:4" x14ac:dyDescent="0.3">
      <c r="A148" s="14" t="s">
        <v>883</v>
      </c>
      <c r="B148" s="11"/>
      <c r="C148" s="11">
        <v>1</v>
      </c>
      <c r="D148" s="11">
        <v>1</v>
      </c>
    </row>
    <row r="149" spans="1:4" x14ac:dyDescent="0.3">
      <c r="A149" s="14" t="s">
        <v>884</v>
      </c>
      <c r="B149" s="11"/>
      <c r="C149" s="11">
        <v>1</v>
      </c>
      <c r="D149" s="11">
        <v>1</v>
      </c>
    </row>
    <row r="150" spans="1:4" x14ac:dyDescent="0.3">
      <c r="A150" s="14" t="s">
        <v>885</v>
      </c>
      <c r="B150" s="11">
        <v>1</v>
      </c>
      <c r="C150" s="11"/>
      <c r="D150" s="11">
        <v>1</v>
      </c>
    </row>
    <row r="151" spans="1:4" x14ac:dyDescent="0.3">
      <c r="A151" s="14" t="s">
        <v>886</v>
      </c>
      <c r="B151" s="11"/>
      <c r="C151" s="11">
        <v>1</v>
      </c>
      <c r="D151" s="11">
        <v>1</v>
      </c>
    </row>
    <row r="152" spans="1:4" x14ac:dyDescent="0.3">
      <c r="A152" s="14" t="s">
        <v>887</v>
      </c>
      <c r="B152" s="11">
        <v>1</v>
      </c>
      <c r="C152" s="11">
        <v>2</v>
      </c>
      <c r="D152" s="11">
        <v>3</v>
      </c>
    </row>
    <row r="153" spans="1:4" x14ac:dyDescent="0.3">
      <c r="A153" s="14" t="s">
        <v>888</v>
      </c>
      <c r="B153" s="11">
        <v>1</v>
      </c>
      <c r="C153" s="11">
        <v>1</v>
      </c>
      <c r="D153" s="11">
        <v>2</v>
      </c>
    </row>
    <row r="154" spans="1:4" x14ac:dyDescent="0.3">
      <c r="A154" s="14" t="s">
        <v>889</v>
      </c>
      <c r="B154" s="11">
        <v>2</v>
      </c>
      <c r="C154" s="11">
        <v>1</v>
      </c>
      <c r="D154" s="11">
        <v>3</v>
      </c>
    </row>
    <row r="155" spans="1:4" x14ac:dyDescent="0.3">
      <c r="A155" s="14" t="s">
        <v>890</v>
      </c>
      <c r="B155" s="11"/>
      <c r="C155" s="11">
        <v>1</v>
      </c>
      <c r="D155" s="11">
        <v>1</v>
      </c>
    </row>
    <row r="156" spans="1:4" x14ac:dyDescent="0.3">
      <c r="A156" s="14" t="s">
        <v>891</v>
      </c>
      <c r="B156" s="11"/>
      <c r="C156" s="11">
        <v>1</v>
      </c>
      <c r="D156" s="11">
        <v>1</v>
      </c>
    </row>
    <row r="157" spans="1:4" x14ac:dyDescent="0.3">
      <c r="A157" s="14" t="s">
        <v>892</v>
      </c>
      <c r="B157" s="11">
        <v>1</v>
      </c>
      <c r="C157" s="11"/>
      <c r="D157" s="11">
        <v>1</v>
      </c>
    </row>
    <row r="158" spans="1:4" x14ac:dyDescent="0.3">
      <c r="A158" s="14" t="s">
        <v>893</v>
      </c>
      <c r="B158" s="11">
        <v>1</v>
      </c>
      <c r="C158" s="11"/>
      <c r="D158" s="11">
        <v>1</v>
      </c>
    </row>
    <row r="159" spans="1:4" x14ac:dyDescent="0.3">
      <c r="A159" s="14" t="s">
        <v>894</v>
      </c>
      <c r="B159" s="11">
        <v>2</v>
      </c>
      <c r="C159" s="11">
        <v>1</v>
      </c>
      <c r="D159" s="11">
        <v>3</v>
      </c>
    </row>
    <row r="160" spans="1:4" x14ac:dyDescent="0.3">
      <c r="A160" s="14" t="s">
        <v>895</v>
      </c>
      <c r="B160" s="11">
        <v>1</v>
      </c>
      <c r="C160" s="11"/>
      <c r="D160" s="11">
        <v>1</v>
      </c>
    </row>
    <row r="161" spans="1:4" x14ac:dyDescent="0.3">
      <c r="A161" s="14" t="s">
        <v>896</v>
      </c>
      <c r="B161" s="11">
        <v>1</v>
      </c>
      <c r="C161" s="11"/>
      <c r="D161" s="11">
        <v>1</v>
      </c>
    </row>
    <row r="162" spans="1:4" x14ac:dyDescent="0.3">
      <c r="A162" s="14" t="s">
        <v>897</v>
      </c>
      <c r="B162" s="11">
        <v>1</v>
      </c>
      <c r="C162" s="11">
        <v>1</v>
      </c>
      <c r="D162" s="11">
        <v>2</v>
      </c>
    </row>
    <row r="163" spans="1:4" x14ac:dyDescent="0.3">
      <c r="A163" s="14" t="s">
        <v>898</v>
      </c>
      <c r="B163" s="11">
        <v>1</v>
      </c>
      <c r="C163" s="11"/>
      <c r="D163" s="11">
        <v>1</v>
      </c>
    </row>
    <row r="164" spans="1:4" x14ac:dyDescent="0.3">
      <c r="A164" s="14" t="s">
        <v>899</v>
      </c>
      <c r="B164" s="11">
        <v>1</v>
      </c>
      <c r="C164" s="11"/>
      <c r="D164" s="11">
        <v>1</v>
      </c>
    </row>
    <row r="165" spans="1:4" x14ac:dyDescent="0.3">
      <c r="A165" s="14" t="s">
        <v>900</v>
      </c>
      <c r="B165" s="11">
        <v>1</v>
      </c>
      <c r="C165" s="11"/>
      <c r="D165" s="11">
        <v>1</v>
      </c>
    </row>
    <row r="166" spans="1:4" x14ac:dyDescent="0.3">
      <c r="A166" s="14" t="s">
        <v>901</v>
      </c>
      <c r="B166" s="11"/>
      <c r="C166" s="11">
        <v>1</v>
      </c>
      <c r="D166" s="11">
        <v>1</v>
      </c>
    </row>
    <row r="167" spans="1:4" x14ac:dyDescent="0.3">
      <c r="A167" s="14" t="s">
        <v>902</v>
      </c>
      <c r="B167" s="11"/>
      <c r="C167" s="11">
        <v>1</v>
      </c>
      <c r="D167" s="11">
        <v>1</v>
      </c>
    </row>
    <row r="168" spans="1:4" x14ac:dyDescent="0.3">
      <c r="A168" s="14" t="s">
        <v>903</v>
      </c>
      <c r="B168" s="11">
        <v>1</v>
      </c>
      <c r="C168" s="11">
        <v>2</v>
      </c>
      <c r="D168" s="11">
        <v>3</v>
      </c>
    </row>
    <row r="169" spans="1:4" x14ac:dyDescent="0.3">
      <c r="A169" s="14" t="s">
        <v>904</v>
      </c>
      <c r="B169" s="11"/>
      <c r="C169" s="11">
        <v>2</v>
      </c>
      <c r="D169" s="11">
        <v>2</v>
      </c>
    </row>
    <row r="170" spans="1:4" x14ac:dyDescent="0.3">
      <c r="A170" s="14" t="s">
        <v>905</v>
      </c>
      <c r="B170" s="11"/>
      <c r="C170" s="11">
        <v>1</v>
      </c>
      <c r="D170" s="11">
        <v>1</v>
      </c>
    </row>
    <row r="171" spans="1:4" x14ac:dyDescent="0.3">
      <c r="A171" s="14" t="s">
        <v>906</v>
      </c>
      <c r="B171" s="11">
        <v>1</v>
      </c>
      <c r="C171" s="11"/>
      <c r="D171" s="11">
        <v>1</v>
      </c>
    </row>
    <row r="172" spans="1:4" x14ac:dyDescent="0.3">
      <c r="A172" s="14" t="s">
        <v>907</v>
      </c>
      <c r="B172" s="11"/>
      <c r="C172" s="11">
        <v>1</v>
      </c>
      <c r="D172" s="11">
        <v>1</v>
      </c>
    </row>
    <row r="173" spans="1:4" x14ac:dyDescent="0.3">
      <c r="A173" s="14" t="s">
        <v>908</v>
      </c>
      <c r="B173" s="11"/>
      <c r="C173" s="11">
        <v>1</v>
      </c>
      <c r="D173" s="11">
        <v>1</v>
      </c>
    </row>
    <row r="174" spans="1:4" x14ac:dyDescent="0.3">
      <c r="A174" s="14" t="s">
        <v>909</v>
      </c>
      <c r="B174" s="11"/>
      <c r="C174" s="11">
        <v>1</v>
      </c>
      <c r="D174" s="11">
        <v>1</v>
      </c>
    </row>
    <row r="175" spans="1:4" x14ac:dyDescent="0.3">
      <c r="A175" s="14" t="s">
        <v>910</v>
      </c>
      <c r="B175" s="11">
        <v>1</v>
      </c>
      <c r="C175" s="11"/>
      <c r="D175" s="11">
        <v>1</v>
      </c>
    </row>
    <row r="176" spans="1:4" x14ac:dyDescent="0.3">
      <c r="A176" s="14" t="s">
        <v>911</v>
      </c>
      <c r="B176" s="11"/>
      <c r="C176" s="11">
        <v>1</v>
      </c>
      <c r="D176" s="11">
        <v>1</v>
      </c>
    </row>
    <row r="177" spans="1:4" x14ac:dyDescent="0.3">
      <c r="A177" s="14" t="s">
        <v>912</v>
      </c>
      <c r="B177" s="11">
        <v>1</v>
      </c>
      <c r="C177" s="11"/>
      <c r="D177" s="11">
        <v>1</v>
      </c>
    </row>
    <row r="178" spans="1:4" x14ac:dyDescent="0.3">
      <c r="A178" s="14" t="s">
        <v>913</v>
      </c>
      <c r="B178" s="11">
        <v>1</v>
      </c>
      <c r="C178" s="11"/>
      <c r="D178" s="11">
        <v>1</v>
      </c>
    </row>
    <row r="179" spans="1:4" x14ac:dyDescent="0.3">
      <c r="A179" s="14" t="s">
        <v>914</v>
      </c>
      <c r="B179" s="11"/>
      <c r="C179" s="11">
        <v>1</v>
      </c>
      <c r="D179" s="11">
        <v>1</v>
      </c>
    </row>
    <row r="180" spans="1:4" x14ac:dyDescent="0.3">
      <c r="A180" s="14" t="s">
        <v>915</v>
      </c>
      <c r="B180" s="11">
        <v>1</v>
      </c>
      <c r="C180" s="11"/>
      <c r="D180" s="11">
        <v>1</v>
      </c>
    </row>
    <row r="181" spans="1:4" x14ac:dyDescent="0.3">
      <c r="A181" s="14" t="s">
        <v>916</v>
      </c>
      <c r="B181" s="11">
        <v>1</v>
      </c>
      <c r="C181" s="11">
        <v>1</v>
      </c>
      <c r="D181" s="11">
        <v>2</v>
      </c>
    </row>
    <row r="182" spans="1:4" x14ac:dyDescent="0.3">
      <c r="A182" s="14" t="s">
        <v>917</v>
      </c>
      <c r="B182" s="11">
        <v>1</v>
      </c>
      <c r="C182" s="11"/>
      <c r="D182" s="11">
        <v>1</v>
      </c>
    </row>
    <row r="183" spans="1:4" x14ac:dyDescent="0.3">
      <c r="A183" s="14" t="s">
        <v>918</v>
      </c>
      <c r="B183" s="11"/>
      <c r="C183" s="11">
        <v>1</v>
      </c>
      <c r="D183" s="11">
        <v>1</v>
      </c>
    </row>
    <row r="184" spans="1:4" x14ac:dyDescent="0.3">
      <c r="A184" s="14" t="s">
        <v>919</v>
      </c>
      <c r="B184" s="11">
        <v>1</v>
      </c>
      <c r="C184" s="11"/>
      <c r="D184" s="11">
        <v>1</v>
      </c>
    </row>
    <row r="185" spans="1:4" x14ac:dyDescent="0.3">
      <c r="A185" s="14" t="s">
        <v>920</v>
      </c>
      <c r="B185" s="11"/>
      <c r="C185" s="11">
        <v>1</v>
      </c>
      <c r="D185" s="11">
        <v>1</v>
      </c>
    </row>
    <row r="186" spans="1:4" x14ac:dyDescent="0.3">
      <c r="A186" s="14" t="s">
        <v>921</v>
      </c>
      <c r="B186" s="11"/>
      <c r="C186" s="11">
        <v>1</v>
      </c>
      <c r="D186" s="11">
        <v>1</v>
      </c>
    </row>
    <row r="187" spans="1:4" x14ac:dyDescent="0.3">
      <c r="A187" s="14" t="s">
        <v>922</v>
      </c>
      <c r="B187" s="11"/>
      <c r="C187" s="11">
        <v>1</v>
      </c>
      <c r="D187" s="11">
        <v>1</v>
      </c>
    </row>
    <row r="188" spans="1:4" x14ac:dyDescent="0.3">
      <c r="A188" s="14" t="s">
        <v>923</v>
      </c>
      <c r="B188" s="11">
        <v>1</v>
      </c>
      <c r="C188" s="11"/>
      <c r="D188" s="11">
        <v>1</v>
      </c>
    </row>
    <row r="189" spans="1:4" x14ac:dyDescent="0.3">
      <c r="A189" s="14" t="s">
        <v>924</v>
      </c>
      <c r="B189" s="11">
        <v>1</v>
      </c>
      <c r="C189" s="11">
        <v>1</v>
      </c>
      <c r="D189" s="11">
        <v>2</v>
      </c>
    </row>
    <row r="190" spans="1:4" x14ac:dyDescent="0.3">
      <c r="A190" s="14" t="s">
        <v>925</v>
      </c>
      <c r="B190" s="11"/>
      <c r="C190" s="11">
        <v>1</v>
      </c>
      <c r="D190" s="11">
        <v>1</v>
      </c>
    </row>
    <row r="191" spans="1:4" x14ac:dyDescent="0.3">
      <c r="A191" s="14" t="s">
        <v>926</v>
      </c>
      <c r="B191" s="11"/>
      <c r="C191" s="11">
        <v>1</v>
      </c>
      <c r="D191" s="11">
        <v>1</v>
      </c>
    </row>
    <row r="192" spans="1:4" x14ac:dyDescent="0.3">
      <c r="A192" s="14" t="s">
        <v>927</v>
      </c>
      <c r="B192" s="11"/>
      <c r="C192" s="11">
        <v>1</v>
      </c>
      <c r="D192" s="11">
        <v>1</v>
      </c>
    </row>
    <row r="193" spans="1:4" x14ac:dyDescent="0.3">
      <c r="A193" s="14" t="s">
        <v>928</v>
      </c>
      <c r="B193" s="11">
        <v>1</v>
      </c>
      <c r="C193" s="11">
        <v>1</v>
      </c>
      <c r="D193" s="11">
        <v>2</v>
      </c>
    </row>
    <row r="194" spans="1:4" x14ac:dyDescent="0.3">
      <c r="A194" s="14" t="s">
        <v>929</v>
      </c>
      <c r="B194" s="11">
        <v>1</v>
      </c>
      <c r="C194" s="11"/>
      <c r="D194" s="11">
        <v>1</v>
      </c>
    </row>
    <row r="195" spans="1:4" x14ac:dyDescent="0.3">
      <c r="A195" s="14" t="s">
        <v>930</v>
      </c>
      <c r="B195" s="11">
        <v>1</v>
      </c>
      <c r="C195" s="11"/>
      <c r="D195" s="11">
        <v>1</v>
      </c>
    </row>
    <row r="196" spans="1:4" x14ac:dyDescent="0.3">
      <c r="A196" s="14" t="s">
        <v>931</v>
      </c>
      <c r="B196" s="11">
        <v>1</v>
      </c>
      <c r="C196" s="11"/>
      <c r="D196" s="11">
        <v>1</v>
      </c>
    </row>
    <row r="197" spans="1:4" x14ac:dyDescent="0.3">
      <c r="A197" s="14" t="s">
        <v>932</v>
      </c>
      <c r="B197" s="11">
        <v>1</v>
      </c>
      <c r="C197" s="11"/>
      <c r="D197" s="11">
        <v>1</v>
      </c>
    </row>
    <row r="198" spans="1:4" x14ac:dyDescent="0.3">
      <c r="A198" s="14" t="s">
        <v>933</v>
      </c>
      <c r="B198" s="11"/>
      <c r="C198" s="11">
        <v>1</v>
      </c>
      <c r="D198" s="11">
        <v>1</v>
      </c>
    </row>
    <row r="199" spans="1:4" x14ac:dyDescent="0.3">
      <c r="A199" s="14" t="s">
        <v>934</v>
      </c>
      <c r="B199" s="11"/>
      <c r="C199" s="11">
        <v>1</v>
      </c>
      <c r="D199" s="11">
        <v>1</v>
      </c>
    </row>
    <row r="200" spans="1:4" x14ac:dyDescent="0.3">
      <c r="A200" s="14" t="s">
        <v>535</v>
      </c>
      <c r="B200" s="11">
        <v>298</v>
      </c>
      <c r="C200" s="11">
        <v>202</v>
      </c>
      <c r="D200" s="11">
        <v>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workbookViewId="0">
      <selection activeCell="D15" sqref="D15"/>
    </sheetView>
  </sheetViews>
  <sheetFormatPr defaultRowHeight="14.4" x14ac:dyDescent="0.3"/>
  <cols>
    <col min="1" max="1" width="13.77734375" style="8" customWidth="1"/>
    <col min="2" max="2" width="7.44140625" style="6" customWidth="1"/>
    <col min="3" max="3" width="11.44140625" style="8" customWidth="1"/>
    <col min="4" max="4" width="16.5546875" style="6" customWidth="1"/>
    <col min="5" max="5" width="18.5546875" style="2" customWidth="1"/>
    <col min="6" max="6" width="15.44140625" style="2" customWidth="1"/>
    <col min="7" max="7" width="18.88671875" style="8" customWidth="1"/>
    <col min="8" max="8" width="20" customWidth="1"/>
    <col min="9" max="9" width="14.44140625" customWidth="1"/>
    <col min="10" max="10" width="20.21875" customWidth="1"/>
    <col min="11" max="11" width="11.88671875" style="8" customWidth="1"/>
  </cols>
  <sheetData>
    <row r="1" spans="1:12" x14ac:dyDescent="0.3">
      <c r="A1" s="7" t="s">
        <v>0</v>
      </c>
      <c r="B1" s="5" t="s">
        <v>1</v>
      </c>
      <c r="C1" s="7" t="s">
        <v>2</v>
      </c>
      <c r="D1" s="5" t="s">
        <v>3</v>
      </c>
      <c r="E1" s="4" t="s">
        <v>4</v>
      </c>
      <c r="F1" s="4" t="s">
        <v>5</v>
      </c>
      <c r="G1" s="7" t="s">
        <v>6</v>
      </c>
      <c r="H1" s="3" t="s">
        <v>7</v>
      </c>
      <c r="I1" s="3" t="s">
        <v>8</v>
      </c>
      <c r="J1" s="3" t="s">
        <v>9</v>
      </c>
      <c r="K1" s="7" t="s">
        <v>10</v>
      </c>
      <c r="L1" s="12" t="s">
        <v>538</v>
      </c>
    </row>
    <row r="2" spans="1:12" x14ac:dyDescent="0.3">
      <c r="A2" s="8" t="s">
        <v>11</v>
      </c>
      <c r="B2" s="6">
        <v>58</v>
      </c>
      <c r="C2" s="8" t="s">
        <v>12</v>
      </c>
      <c r="D2" s="6">
        <v>2</v>
      </c>
      <c r="E2" s="2">
        <v>3836.98</v>
      </c>
      <c r="F2" s="2">
        <v>7188.46</v>
      </c>
      <c r="G2" s="8" t="s">
        <v>13</v>
      </c>
      <c r="H2" t="s">
        <v>14</v>
      </c>
      <c r="I2">
        <v>10</v>
      </c>
      <c r="J2" t="s">
        <v>15</v>
      </c>
      <c r="K2" s="8" t="s">
        <v>15</v>
      </c>
      <c r="L2" t="str">
        <f>IF(Table1[[#This Row],[Age]]&lt;25,"Under 25",IF(Table1[[#This Row],[Age]]&lt;35,"25-34",IF(Table1[[#This Row],[Age]]&lt;45,"35-44",IF(Table1[[#This Row],[Age]]&lt;55,"45-54","55+"))))</f>
        <v>55+</v>
      </c>
    </row>
    <row r="3" spans="1:12" x14ac:dyDescent="0.3">
      <c r="A3" s="8" t="s">
        <v>16</v>
      </c>
      <c r="B3" s="6">
        <v>23</v>
      </c>
      <c r="C3" s="8" t="s">
        <v>17</v>
      </c>
      <c r="D3" s="6">
        <v>3</v>
      </c>
      <c r="E3" s="2">
        <v>634.09</v>
      </c>
      <c r="F3" s="2">
        <v>1774.43</v>
      </c>
      <c r="G3" s="8" t="s">
        <v>13</v>
      </c>
      <c r="H3" t="s">
        <v>14</v>
      </c>
      <c r="I3">
        <v>8</v>
      </c>
      <c r="J3" t="s">
        <v>18</v>
      </c>
      <c r="K3" s="8" t="s">
        <v>15</v>
      </c>
      <c r="L3" t="str">
        <f>IF(Table1[[#This Row],[Age]]&lt;25,"Under 25",IF(Table1[[#This Row],[Age]]&lt;35,"25-34",IF(Table1[[#This Row],[Age]]&lt;45,"35-44",IF(Table1[[#This Row],[Age]]&lt;55,"45-54","55+"))))</f>
        <v>Under 25</v>
      </c>
    </row>
    <row r="4" spans="1:12" x14ac:dyDescent="0.3">
      <c r="A4" s="8" t="s">
        <v>19</v>
      </c>
      <c r="B4" s="6">
        <v>62</v>
      </c>
      <c r="C4" s="8" t="s">
        <v>17</v>
      </c>
      <c r="D4" s="6">
        <v>15</v>
      </c>
      <c r="E4" s="2">
        <v>2521.44</v>
      </c>
      <c r="F4" s="2">
        <v>35617.68</v>
      </c>
      <c r="G4" s="8" t="s">
        <v>20</v>
      </c>
      <c r="H4" t="s">
        <v>21</v>
      </c>
      <c r="I4">
        <v>6</v>
      </c>
      <c r="J4" t="s">
        <v>22</v>
      </c>
      <c r="K4" s="8" t="s">
        <v>23</v>
      </c>
      <c r="L4" t="str">
        <f>IF(Table1[[#This Row],[Age]]&lt;25,"Under 25",IF(Table1[[#This Row],[Age]]&lt;35,"25-34",IF(Table1[[#This Row],[Age]]&lt;45,"35-44",IF(Table1[[#This Row],[Age]]&lt;55,"45-54","55+"))))</f>
        <v>55+</v>
      </c>
    </row>
    <row r="5" spans="1:12" x14ac:dyDescent="0.3">
      <c r="A5" s="8" t="s">
        <v>24</v>
      </c>
      <c r="B5" s="6">
        <v>31</v>
      </c>
      <c r="C5" s="8" t="s">
        <v>17</v>
      </c>
      <c r="D5" s="6">
        <v>7</v>
      </c>
      <c r="E5" s="2">
        <v>917.36</v>
      </c>
      <c r="F5" s="2">
        <v>5872.53</v>
      </c>
      <c r="G5" s="8" t="s">
        <v>20</v>
      </c>
      <c r="H5" t="s">
        <v>25</v>
      </c>
      <c r="I5">
        <v>4</v>
      </c>
      <c r="J5" t="s">
        <v>18</v>
      </c>
      <c r="K5" s="8" t="s">
        <v>15</v>
      </c>
      <c r="L5" t="str">
        <f>IF(Table1[[#This Row],[Age]]&lt;25,"Under 25",IF(Table1[[#This Row],[Age]]&lt;35,"25-34",IF(Table1[[#This Row],[Age]]&lt;45,"35-44",IF(Table1[[#This Row],[Age]]&lt;55,"45-54","55+"))))</f>
        <v>25-34</v>
      </c>
    </row>
    <row r="6" spans="1:12" x14ac:dyDescent="0.3">
      <c r="A6" s="8" t="s">
        <v>26</v>
      </c>
      <c r="B6" s="6">
        <v>52</v>
      </c>
      <c r="C6" s="8" t="s">
        <v>12</v>
      </c>
      <c r="D6" s="6">
        <v>60</v>
      </c>
      <c r="E6" s="2">
        <v>2203.4</v>
      </c>
      <c r="F6" s="2">
        <v>129930.9</v>
      </c>
      <c r="G6" s="8" t="s">
        <v>20</v>
      </c>
      <c r="H6" t="s">
        <v>25</v>
      </c>
      <c r="I6">
        <v>5</v>
      </c>
      <c r="J6" t="s">
        <v>15</v>
      </c>
      <c r="K6" s="8" t="s">
        <v>23</v>
      </c>
      <c r="L6" t="str">
        <f>IF(Table1[[#This Row],[Age]]&lt;25,"Under 25",IF(Table1[[#This Row],[Age]]&lt;35,"25-34",IF(Table1[[#This Row],[Age]]&lt;45,"35-44",IF(Table1[[#This Row],[Age]]&lt;55,"45-54","55+"))))</f>
        <v>45-54</v>
      </c>
    </row>
    <row r="7" spans="1:12" x14ac:dyDescent="0.3">
      <c r="A7" s="8" t="s">
        <v>27</v>
      </c>
      <c r="B7" s="6">
        <v>22</v>
      </c>
      <c r="C7" s="8" t="s">
        <v>12</v>
      </c>
      <c r="D7" s="6">
        <v>43</v>
      </c>
      <c r="E7" s="2">
        <v>1525.54</v>
      </c>
      <c r="F7" s="2">
        <v>61885.9</v>
      </c>
      <c r="G7" s="8" t="s">
        <v>13</v>
      </c>
      <c r="H7" t="s">
        <v>21</v>
      </c>
      <c r="I7">
        <v>1</v>
      </c>
      <c r="J7" t="s">
        <v>22</v>
      </c>
      <c r="K7" s="8" t="s">
        <v>23</v>
      </c>
      <c r="L7" t="str">
        <f>IF(Table1[[#This Row],[Age]]&lt;25,"Under 25",IF(Table1[[#This Row],[Age]]&lt;35,"25-34",IF(Table1[[#This Row],[Age]]&lt;45,"35-44",IF(Table1[[#This Row],[Age]]&lt;55,"45-54","55+"))))</f>
        <v>Under 25</v>
      </c>
    </row>
    <row r="8" spans="1:12" x14ac:dyDescent="0.3">
      <c r="A8" s="8" t="s">
        <v>28</v>
      </c>
      <c r="B8" s="6">
        <v>58</v>
      </c>
      <c r="C8" s="8" t="s">
        <v>17</v>
      </c>
      <c r="D8" s="6">
        <v>11</v>
      </c>
      <c r="E8" s="2">
        <v>2165.81</v>
      </c>
      <c r="F8" s="2">
        <v>22190.21</v>
      </c>
      <c r="G8" s="8" t="s">
        <v>13</v>
      </c>
      <c r="H8" t="s">
        <v>14</v>
      </c>
      <c r="I8">
        <v>9</v>
      </c>
      <c r="J8" t="s">
        <v>15</v>
      </c>
      <c r="K8" s="8" t="s">
        <v>23</v>
      </c>
      <c r="L8" t="str">
        <f>IF(Table1[[#This Row],[Age]]&lt;25,"Under 25",IF(Table1[[#This Row],[Age]]&lt;35,"25-34",IF(Table1[[#This Row],[Age]]&lt;45,"35-44",IF(Table1[[#This Row],[Age]]&lt;55,"45-54","55+"))))</f>
        <v>55+</v>
      </c>
    </row>
    <row r="9" spans="1:12" x14ac:dyDescent="0.3">
      <c r="A9" s="8" t="s">
        <v>29</v>
      </c>
      <c r="B9" s="6">
        <v>64</v>
      </c>
      <c r="C9" s="8" t="s">
        <v>12</v>
      </c>
      <c r="D9" s="6">
        <v>11</v>
      </c>
      <c r="E9" s="2">
        <v>2580.17</v>
      </c>
      <c r="F9" s="2">
        <v>26692.93</v>
      </c>
      <c r="G9" s="8" t="s">
        <v>20</v>
      </c>
      <c r="H9" t="s">
        <v>25</v>
      </c>
      <c r="I9">
        <v>3</v>
      </c>
      <c r="J9" t="s">
        <v>15</v>
      </c>
      <c r="K9" s="8" t="s">
        <v>23</v>
      </c>
      <c r="L9" t="str">
        <f>IF(Table1[[#This Row],[Age]]&lt;25,"Under 25",IF(Table1[[#This Row],[Age]]&lt;35,"25-34",IF(Table1[[#This Row],[Age]]&lt;45,"35-44",IF(Table1[[#This Row],[Age]]&lt;55,"45-54","55+"))))</f>
        <v>55+</v>
      </c>
    </row>
    <row r="10" spans="1:12" x14ac:dyDescent="0.3">
      <c r="A10" s="8" t="s">
        <v>30</v>
      </c>
      <c r="B10" s="6">
        <v>21</v>
      </c>
      <c r="C10" s="8" t="s">
        <v>12</v>
      </c>
      <c r="D10" s="6">
        <v>53</v>
      </c>
      <c r="E10" s="2">
        <v>644.45000000000005</v>
      </c>
      <c r="F10" s="2">
        <v>32356.45</v>
      </c>
      <c r="G10" s="8" t="s">
        <v>13</v>
      </c>
      <c r="H10" t="s">
        <v>21</v>
      </c>
      <c r="I10">
        <v>9</v>
      </c>
      <c r="J10" t="s">
        <v>15</v>
      </c>
      <c r="K10" s="8" t="s">
        <v>23</v>
      </c>
      <c r="L10" t="str">
        <f>IF(Table1[[#This Row],[Age]]&lt;25,"Under 25",IF(Table1[[#This Row],[Age]]&lt;35,"25-34",IF(Table1[[#This Row],[Age]]&lt;45,"35-44",IF(Table1[[#This Row],[Age]]&lt;55,"45-54","55+"))))</f>
        <v>Under 25</v>
      </c>
    </row>
    <row r="11" spans="1:12" x14ac:dyDescent="0.3">
      <c r="A11" s="8" t="s">
        <v>31</v>
      </c>
      <c r="B11" s="6">
        <v>59</v>
      </c>
      <c r="C11" s="8" t="s">
        <v>17</v>
      </c>
      <c r="D11" s="6">
        <v>26</v>
      </c>
      <c r="E11" s="2">
        <v>4481.07</v>
      </c>
      <c r="F11" s="2">
        <v>116091.63</v>
      </c>
      <c r="G11" s="8" t="s">
        <v>13</v>
      </c>
      <c r="H11" t="s">
        <v>21</v>
      </c>
      <c r="I11">
        <v>3</v>
      </c>
      <c r="J11" t="s">
        <v>15</v>
      </c>
      <c r="K11" s="8" t="s">
        <v>15</v>
      </c>
      <c r="L11" t="str">
        <f>IF(Table1[[#This Row],[Age]]&lt;25,"Under 25",IF(Table1[[#This Row],[Age]]&lt;35,"25-34",IF(Table1[[#This Row],[Age]]&lt;45,"35-44",IF(Table1[[#This Row],[Age]]&lt;55,"45-54","55+"))))</f>
        <v>55+</v>
      </c>
    </row>
    <row r="12" spans="1:12" x14ac:dyDescent="0.3">
      <c r="A12" s="8" t="s">
        <v>32</v>
      </c>
      <c r="B12" s="6">
        <v>34</v>
      </c>
      <c r="C12" s="8" t="s">
        <v>17</v>
      </c>
      <c r="D12" s="6">
        <v>58</v>
      </c>
      <c r="E12" s="2">
        <v>3125.9</v>
      </c>
      <c r="F12" s="2">
        <v>173016.59</v>
      </c>
      <c r="G12" s="8" t="s">
        <v>20</v>
      </c>
      <c r="H12" t="s">
        <v>21</v>
      </c>
      <c r="I12">
        <v>8</v>
      </c>
      <c r="J12" t="s">
        <v>22</v>
      </c>
      <c r="K12" s="8" t="s">
        <v>23</v>
      </c>
      <c r="L12" t="str">
        <f>IF(Table1[[#This Row],[Age]]&lt;25,"Under 25",IF(Table1[[#This Row],[Age]]&lt;35,"25-34",IF(Table1[[#This Row],[Age]]&lt;45,"35-44",IF(Table1[[#This Row],[Age]]&lt;55,"45-54","55+"))))</f>
        <v>25-34</v>
      </c>
    </row>
    <row r="13" spans="1:12" x14ac:dyDescent="0.3">
      <c r="A13" s="8" t="s">
        <v>33</v>
      </c>
      <c r="B13" s="6">
        <v>21</v>
      </c>
      <c r="C13" s="8" t="s">
        <v>12</v>
      </c>
      <c r="D13" s="6">
        <v>10</v>
      </c>
      <c r="E13" s="2">
        <v>3323.51</v>
      </c>
      <c r="F13" s="2">
        <v>33860.32</v>
      </c>
      <c r="G13" s="8" t="s">
        <v>13</v>
      </c>
      <c r="H13" t="s">
        <v>14</v>
      </c>
      <c r="I13">
        <v>6</v>
      </c>
      <c r="J13" t="s">
        <v>22</v>
      </c>
      <c r="K13" s="8" t="s">
        <v>23</v>
      </c>
      <c r="L13" t="str">
        <f>IF(Table1[[#This Row],[Age]]&lt;25,"Under 25",IF(Table1[[#This Row],[Age]]&lt;35,"25-34",IF(Table1[[#This Row],[Age]]&lt;45,"35-44",IF(Table1[[#This Row],[Age]]&lt;55,"45-54","55+"))))</f>
        <v>Under 25</v>
      </c>
    </row>
    <row r="14" spans="1:12" x14ac:dyDescent="0.3">
      <c r="A14" s="8" t="s">
        <v>34</v>
      </c>
      <c r="B14" s="6">
        <v>47</v>
      </c>
      <c r="C14" s="8" t="s">
        <v>17</v>
      </c>
      <c r="D14" s="6">
        <v>36</v>
      </c>
      <c r="E14" s="2">
        <v>4373.51</v>
      </c>
      <c r="F14" s="2">
        <v>141972.87</v>
      </c>
      <c r="G14" s="8" t="s">
        <v>35</v>
      </c>
      <c r="H14" t="s">
        <v>25</v>
      </c>
      <c r="I14">
        <v>4</v>
      </c>
      <c r="J14" t="s">
        <v>15</v>
      </c>
      <c r="K14" s="8" t="s">
        <v>15</v>
      </c>
      <c r="L14" t="str">
        <f>IF(Table1[[#This Row],[Age]]&lt;25,"Under 25",IF(Table1[[#This Row],[Age]]&lt;35,"25-34",IF(Table1[[#This Row],[Age]]&lt;45,"35-44",IF(Table1[[#This Row],[Age]]&lt;55,"45-54","55+"))))</f>
        <v>45-54</v>
      </c>
    </row>
    <row r="15" spans="1:12" x14ac:dyDescent="0.3">
      <c r="A15" s="8" t="s">
        <v>36</v>
      </c>
      <c r="B15" s="6">
        <v>36</v>
      </c>
      <c r="C15" s="8" t="s">
        <v>17</v>
      </c>
      <c r="D15" s="6">
        <v>11</v>
      </c>
      <c r="E15" s="2">
        <v>2541.7600000000002</v>
      </c>
      <c r="F15" s="2">
        <v>29163.64</v>
      </c>
      <c r="G15" s="8" t="s">
        <v>20</v>
      </c>
      <c r="H15" t="s">
        <v>37</v>
      </c>
      <c r="I15">
        <v>8</v>
      </c>
      <c r="J15" t="s">
        <v>18</v>
      </c>
      <c r="K15" s="8" t="s">
        <v>23</v>
      </c>
      <c r="L15" t="str">
        <f>IF(Table1[[#This Row],[Age]]&lt;25,"Under 25",IF(Table1[[#This Row],[Age]]&lt;35,"25-34",IF(Table1[[#This Row],[Age]]&lt;45,"35-44",IF(Table1[[#This Row],[Age]]&lt;55,"45-54","55+"))))</f>
        <v>35-44</v>
      </c>
    </row>
    <row r="16" spans="1:12" x14ac:dyDescent="0.3">
      <c r="A16" s="8" t="s">
        <v>38</v>
      </c>
      <c r="B16" s="6">
        <v>24</v>
      </c>
      <c r="C16" s="8" t="s">
        <v>17</v>
      </c>
      <c r="D16" s="6">
        <v>54</v>
      </c>
      <c r="E16" s="2">
        <v>3375.27</v>
      </c>
      <c r="F16" s="2">
        <v>180687.18</v>
      </c>
      <c r="G16" s="8" t="s">
        <v>13</v>
      </c>
      <c r="H16" t="s">
        <v>21</v>
      </c>
      <c r="I16">
        <v>8</v>
      </c>
      <c r="J16" t="s">
        <v>15</v>
      </c>
      <c r="K16" s="8" t="s">
        <v>15</v>
      </c>
      <c r="L16" t="str">
        <f>IF(Table1[[#This Row],[Age]]&lt;25,"Under 25",IF(Table1[[#This Row],[Age]]&lt;35,"25-34",IF(Table1[[#This Row],[Age]]&lt;45,"35-44",IF(Table1[[#This Row],[Age]]&lt;55,"45-54","55+"))))</f>
        <v>Under 25</v>
      </c>
    </row>
    <row r="17" spans="1:12" x14ac:dyDescent="0.3">
      <c r="A17" s="8" t="s">
        <v>39</v>
      </c>
      <c r="B17" s="6">
        <v>56</v>
      </c>
      <c r="C17" s="8" t="s">
        <v>17</v>
      </c>
      <c r="D17" s="6">
        <v>32</v>
      </c>
      <c r="E17" s="2">
        <v>587.65</v>
      </c>
      <c r="F17" s="2">
        <v>19545.05</v>
      </c>
      <c r="G17" s="8" t="s">
        <v>20</v>
      </c>
      <c r="H17" t="s">
        <v>37</v>
      </c>
      <c r="I17">
        <v>3</v>
      </c>
      <c r="J17" t="s">
        <v>18</v>
      </c>
      <c r="K17" s="8" t="s">
        <v>23</v>
      </c>
      <c r="L17" t="str">
        <f>IF(Table1[[#This Row],[Age]]&lt;25,"Under 25",IF(Table1[[#This Row],[Age]]&lt;35,"25-34",IF(Table1[[#This Row],[Age]]&lt;45,"35-44",IF(Table1[[#This Row],[Age]]&lt;55,"45-54","55+"))))</f>
        <v>55+</v>
      </c>
    </row>
    <row r="18" spans="1:12" x14ac:dyDescent="0.3">
      <c r="A18" s="8" t="s">
        <v>40</v>
      </c>
      <c r="B18" s="6">
        <v>54</v>
      </c>
      <c r="C18" s="8" t="s">
        <v>12</v>
      </c>
      <c r="D18" s="6">
        <v>6</v>
      </c>
      <c r="E18" s="2">
        <v>3793.58</v>
      </c>
      <c r="F18" s="2">
        <v>23271.42</v>
      </c>
      <c r="G18" s="8" t="s">
        <v>20</v>
      </c>
      <c r="H18" t="s">
        <v>25</v>
      </c>
      <c r="I18">
        <v>2</v>
      </c>
      <c r="J18" t="s">
        <v>18</v>
      </c>
      <c r="K18" s="8" t="s">
        <v>15</v>
      </c>
      <c r="L18" t="str">
        <f>IF(Table1[[#This Row],[Age]]&lt;25,"Under 25",IF(Table1[[#This Row],[Age]]&lt;35,"25-34",IF(Table1[[#This Row],[Age]]&lt;45,"35-44",IF(Table1[[#This Row],[Age]]&lt;55,"45-54","55+"))))</f>
        <v>45-54</v>
      </c>
    </row>
    <row r="19" spans="1:12" x14ac:dyDescent="0.3">
      <c r="A19" s="8" t="s">
        <v>41</v>
      </c>
      <c r="B19" s="6">
        <v>53</v>
      </c>
      <c r="C19" s="8" t="s">
        <v>12</v>
      </c>
      <c r="D19" s="6">
        <v>17</v>
      </c>
      <c r="E19" s="2">
        <v>2874.53</v>
      </c>
      <c r="F19" s="2">
        <v>48426.67</v>
      </c>
      <c r="G19" s="8" t="s">
        <v>20</v>
      </c>
      <c r="H19" t="s">
        <v>25</v>
      </c>
      <c r="I19">
        <v>3</v>
      </c>
      <c r="J19" t="s">
        <v>15</v>
      </c>
      <c r="K19" s="8" t="s">
        <v>15</v>
      </c>
      <c r="L19" t="str">
        <f>IF(Table1[[#This Row],[Age]]&lt;25,"Under 25",IF(Table1[[#This Row],[Age]]&lt;35,"25-34",IF(Table1[[#This Row],[Age]]&lt;45,"35-44",IF(Table1[[#This Row],[Age]]&lt;55,"45-54","55+"))))</f>
        <v>45-54</v>
      </c>
    </row>
    <row r="20" spans="1:12" x14ac:dyDescent="0.3">
      <c r="A20" s="8" t="s">
        <v>42</v>
      </c>
      <c r="B20" s="6">
        <v>60</v>
      </c>
      <c r="C20" s="8" t="s">
        <v>17</v>
      </c>
      <c r="D20" s="6">
        <v>29</v>
      </c>
      <c r="E20" s="2">
        <v>4548.26</v>
      </c>
      <c r="F20" s="2">
        <v>127642.21</v>
      </c>
      <c r="G20" s="8" t="s">
        <v>13</v>
      </c>
      <c r="H20" t="s">
        <v>14</v>
      </c>
      <c r="I20">
        <v>5</v>
      </c>
      <c r="J20" t="s">
        <v>18</v>
      </c>
      <c r="K20" s="8" t="s">
        <v>15</v>
      </c>
      <c r="L20" t="str">
        <f>IF(Table1[[#This Row],[Age]]&lt;25,"Under 25",IF(Table1[[#This Row],[Age]]&lt;35,"25-34",IF(Table1[[#This Row],[Age]]&lt;45,"35-44",IF(Table1[[#This Row],[Age]]&lt;55,"45-54","55+"))))</f>
        <v>55+</v>
      </c>
    </row>
    <row r="21" spans="1:12" x14ac:dyDescent="0.3">
      <c r="A21" s="8" t="s">
        <v>43</v>
      </c>
      <c r="B21" s="6">
        <v>32</v>
      </c>
      <c r="C21" s="8" t="s">
        <v>12</v>
      </c>
      <c r="D21" s="6">
        <v>1</v>
      </c>
      <c r="E21" s="2">
        <v>819.47</v>
      </c>
      <c r="F21" s="2">
        <v>815.1</v>
      </c>
      <c r="G21" s="8" t="s">
        <v>13</v>
      </c>
      <c r="H21" t="s">
        <v>14</v>
      </c>
      <c r="I21">
        <v>5</v>
      </c>
      <c r="J21" t="s">
        <v>18</v>
      </c>
      <c r="K21" s="8" t="s">
        <v>23</v>
      </c>
      <c r="L21" t="str">
        <f>IF(Table1[[#This Row],[Age]]&lt;25,"Under 25",IF(Table1[[#This Row],[Age]]&lt;35,"25-34",IF(Table1[[#This Row],[Age]]&lt;45,"35-44",IF(Table1[[#This Row],[Age]]&lt;55,"45-54","55+"))))</f>
        <v>25-34</v>
      </c>
    </row>
    <row r="22" spans="1:12" x14ac:dyDescent="0.3">
      <c r="A22" s="8" t="s">
        <v>44</v>
      </c>
      <c r="B22" s="6">
        <v>35</v>
      </c>
      <c r="C22" s="8" t="s">
        <v>17</v>
      </c>
      <c r="D22" s="6">
        <v>14</v>
      </c>
      <c r="E22" s="2">
        <v>2926.55</v>
      </c>
      <c r="F22" s="2">
        <v>41320.080000000002</v>
      </c>
      <c r="G22" s="8" t="s">
        <v>20</v>
      </c>
      <c r="H22" t="s">
        <v>25</v>
      </c>
      <c r="I22">
        <v>7</v>
      </c>
      <c r="J22" t="s">
        <v>18</v>
      </c>
      <c r="K22" s="8" t="s">
        <v>15</v>
      </c>
      <c r="L22" t="str">
        <f>IF(Table1[[#This Row],[Age]]&lt;25,"Under 25",IF(Table1[[#This Row],[Age]]&lt;35,"25-34",IF(Table1[[#This Row],[Age]]&lt;45,"35-44",IF(Table1[[#This Row],[Age]]&lt;55,"45-54","55+"))))</f>
        <v>35-44</v>
      </c>
    </row>
    <row r="23" spans="1:12" x14ac:dyDescent="0.3">
      <c r="A23" s="8" t="s">
        <v>45</v>
      </c>
      <c r="B23" s="6">
        <v>44</v>
      </c>
      <c r="C23" s="8" t="s">
        <v>12</v>
      </c>
      <c r="D23" s="6">
        <v>7</v>
      </c>
      <c r="E23" s="2">
        <v>936.19</v>
      </c>
      <c r="F23" s="2">
        <v>6321.72</v>
      </c>
      <c r="G23" s="8" t="s">
        <v>13</v>
      </c>
      <c r="H23" t="s">
        <v>46</v>
      </c>
      <c r="I23">
        <v>0</v>
      </c>
      <c r="J23" t="s">
        <v>15</v>
      </c>
      <c r="K23" s="8" t="s">
        <v>15</v>
      </c>
      <c r="L23" t="str">
        <f>IF(Table1[[#This Row],[Age]]&lt;25,"Under 25",IF(Table1[[#This Row],[Age]]&lt;35,"25-34",IF(Table1[[#This Row],[Age]]&lt;45,"35-44",IF(Table1[[#This Row],[Age]]&lt;55,"45-54","55+"))))</f>
        <v>35-44</v>
      </c>
    </row>
    <row r="24" spans="1:12" x14ac:dyDescent="0.3">
      <c r="A24" s="8" t="s">
        <v>47</v>
      </c>
      <c r="B24" s="6">
        <v>59</v>
      </c>
      <c r="C24" s="8" t="s">
        <v>12</v>
      </c>
      <c r="D24" s="6">
        <v>4</v>
      </c>
      <c r="E24" s="2">
        <v>2311.8000000000002</v>
      </c>
      <c r="F24" s="2">
        <v>8793.1200000000008</v>
      </c>
      <c r="G24" s="8" t="s">
        <v>20</v>
      </c>
      <c r="H24" t="s">
        <v>21</v>
      </c>
      <c r="I24">
        <v>3</v>
      </c>
      <c r="J24" t="s">
        <v>18</v>
      </c>
      <c r="K24" s="8" t="s">
        <v>15</v>
      </c>
      <c r="L24" t="str">
        <f>IF(Table1[[#This Row],[Age]]&lt;25,"Under 25",IF(Table1[[#This Row],[Age]]&lt;35,"25-34",IF(Table1[[#This Row],[Age]]&lt;45,"35-44",IF(Table1[[#This Row],[Age]]&lt;55,"45-54","55+"))))</f>
        <v>55+</v>
      </c>
    </row>
    <row r="25" spans="1:12" x14ac:dyDescent="0.3">
      <c r="A25" s="8" t="s">
        <v>48</v>
      </c>
      <c r="B25" s="6">
        <v>26</v>
      </c>
      <c r="C25" s="8" t="s">
        <v>17</v>
      </c>
      <c r="D25" s="6">
        <v>12</v>
      </c>
      <c r="E25" s="2">
        <v>1753.45</v>
      </c>
      <c r="F25" s="2">
        <v>19725.7</v>
      </c>
      <c r="G25" s="8" t="s">
        <v>20</v>
      </c>
      <c r="H25" t="s">
        <v>46</v>
      </c>
      <c r="I25">
        <v>8</v>
      </c>
      <c r="J25" t="s">
        <v>18</v>
      </c>
      <c r="K25" s="8" t="s">
        <v>23</v>
      </c>
      <c r="L25" t="str">
        <f>IF(Table1[[#This Row],[Age]]&lt;25,"Under 25",IF(Table1[[#This Row],[Age]]&lt;35,"25-34",IF(Table1[[#This Row],[Age]]&lt;45,"35-44",IF(Table1[[#This Row],[Age]]&lt;55,"45-54","55+"))))</f>
        <v>25-34</v>
      </c>
    </row>
    <row r="26" spans="1:12" x14ac:dyDescent="0.3">
      <c r="A26" s="8" t="s">
        <v>49</v>
      </c>
      <c r="B26" s="6">
        <v>52</v>
      </c>
      <c r="C26" s="8" t="s">
        <v>12</v>
      </c>
      <c r="D26" s="6">
        <v>6</v>
      </c>
      <c r="E26" s="2">
        <v>4668.6499999999996</v>
      </c>
      <c r="F26" s="2">
        <v>28776.75</v>
      </c>
      <c r="G26" s="8" t="s">
        <v>13</v>
      </c>
      <c r="H26" t="s">
        <v>46</v>
      </c>
      <c r="I26">
        <v>7</v>
      </c>
      <c r="J26" t="s">
        <v>18</v>
      </c>
      <c r="K26" s="8" t="s">
        <v>15</v>
      </c>
      <c r="L26" t="str">
        <f>IF(Table1[[#This Row],[Age]]&lt;25,"Under 25",IF(Table1[[#This Row],[Age]]&lt;35,"25-34",IF(Table1[[#This Row],[Age]]&lt;45,"35-44",IF(Table1[[#This Row],[Age]]&lt;55,"45-54","55+"))))</f>
        <v>45-54</v>
      </c>
    </row>
    <row r="27" spans="1:12" x14ac:dyDescent="0.3">
      <c r="A27" s="8" t="s">
        <v>50</v>
      </c>
      <c r="B27" s="6">
        <v>21</v>
      </c>
      <c r="C27" s="8" t="s">
        <v>12</v>
      </c>
      <c r="D27" s="6">
        <v>25</v>
      </c>
      <c r="E27" s="2">
        <v>509.7</v>
      </c>
      <c r="F27" s="2">
        <v>12214.49</v>
      </c>
      <c r="G27" s="8" t="s">
        <v>20</v>
      </c>
      <c r="H27" t="s">
        <v>46</v>
      </c>
      <c r="I27">
        <v>4</v>
      </c>
      <c r="J27" t="s">
        <v>22</v>
      </c>
      <c r="K27" s="8" t="s">
        <v>15</v>
      </c>
      <c r="L27" t="str">
        <f>IF(Table1[[#This Row],[Age]]&lt;25,"Under 25",IF(Table1[[#This Row],[Age]]&lt;35,"25-34",IF(Table1[[#This Row],[Age]]&lt;45,"35-44",IF(Table1[[#This Row],[Age]]&lt;55,"45-54","55+"))))</f>
        <v>Under 25</v>
      </c>
    </row>
    <row r="28" spans="1:12" x14ac:dyDescent="0.3">
      <c r="A28" s="8" t="s">
        <v>51</v>
      </c>
      <c r="B28" s="6">
        <v>64</v>
      </c>
      <c r="C28" s="8" t="s">
        <v>17</v>
      </c>
      <c r="D28" s="6">
        <v>10</v>
      </c>
      <c r="E28" s="2">
        <v>1354.54</v>
      </c>
      <c r="F28" s="2">
        <v>12633.19</v>
      </c>
      <c r="G28" s="8" t="s">
        <v>13</v>
      </c>
      <c r="H28" t="s">
        <v>25</v>
      </c>
      <c r="I28">
        <v>0</v>
      </c>
      <c r="J28" t="s">
        <v>15</v>
      </c>
      <c r="K28" s="8" t="s">
        <v>23</v>
      </c>
      <c r="L28" t="str">
        <f>IF(Table1[[#This Row],[Age]]&lt;25,"Under 25",IF(Table1[[#This Row],[Age]]&lt;35,"25-34",IF(Table1[[#This Row],[Age]]&lt;45,"35-44",IF(Table1[[#This Row],[Age]]&lt;55,"45-54","55+"))))</f>
        <v>55+</v>
      </c>
    </row>
    <row r="29" spans="1:12" x14ac:dyDescent="0.3">
      <c r="A29" s="8" t="s">
        <v>52</v>
      </c>
      <c r="B29" s="6">
        <v>21</v>
      </c>
      <c r="C29" s="8" t="s">
        <v>17</v>
      </c>
      <c r="D29" s="6">
        <v>33</v>
      </c>
      <c r="E29" s="2">
        <v>4637.24</v>
      </c>
      <c r="F29" s="2">
        <v>149917.68</v>
      </c>
      <c r="G29" s="8" t="s">
        <v>13</v>
      </c>
      <c r="H29" t="s">
        <v>25</v>
      </c>
      <c r="I29">
        <v>1</v>
      </c>
      <c r="J29" t="s">
        <v>18</v>
      </c>
      <c r="K29" s="8" t="s">
        <v>23</v>
      </c>
      <c r="L29" t="str">
        <f>IF(Table1[[#This Row],[Age]]&lt;25,"Under 25",IF(Table1[[#This Row],[Age]]&lt;35,"25-34",IF(Table1[[#This Row],[Age]]&lt;45,"35-44",IF(Table1[[#This Row],[Age]]&lt;55,"45-54","55+"))))</f>
        <v>Under 25</v>
      </c>
    </row>
    <row r="30" spans="1:12" x14ac:dyDescent="0.3">
      <c r="A30" s="8" t="s">
        <v>53</v>
      </c>
      <c r="B30" s="6">
        <v>22</v>
      </c>
      <c r="C30" s="8" t="s">
        <v>12</v>
      </c>
      <c r="D30" s="6">
        <v>26</v>
      </c>
      <c r="E30" s="2">
        <v>1039.49</v>
      </c>
      <c r="F30" s="2">
        <v>27933.3</v>
      </c>
      <c r="G30" s="8" t="s">
        <v>13</v>
      </c>
      <c r="H30" t="s">
        <v>25</v>
      </c>
      <c r="I30">
        <v>0</v>
      </c>
      <c r="J30" t="s">
        <v>15</v>
      </c>
      <c r="K30" s="8" t="s">
        <v>23</v>
      </c>
      <c r="L30" t="str">
        <f>IF(Table1[[#This Row],[Age]]&lt;25,"Under 25",IF(Table1[[#This Row],[Age]]&lt;35,"25-34",IF(Table1[[#This Row],[Age]]&lt;45,"35-44",IF(Table1[[#This Row],[Age]]&lt;55,"45-54","55+"))))</f>
        <v>Under 25</v>
      </c>
    </row>
    <row r="31" spans="1:12" x14ac:dyDescent="0.3">
      <c r="A31" s="8" t="s">
        <v>54</v>
      </c>
      <c r="B31" s="6">
        <v>60</v>
      </c>
      <c r="C31" s="8" t="s">
        <v>17</v>
      </c>
      <c r="D31" s="6">
        <v>60</v>
      </c>
      <c r="E31" s="2">
        <v>1673.45</v>
      </c>
      <c r="F31" s="2">
        <v>100453.08</v>
      </c>
      <c r="G31" s="8" t="s">
        <v>13</v>
      </c>
      <c r="H31" t="s">
        <v>37</v>
      </c>
      <c r="I31">
        <v>6</v>
      </c>
      <c r="J31" t="s">
        <v>18</v>
      </c>
      <c r="K31" s="8" t="s">
        <v>15</v>
      </c>
      <c r="L31" t="str">
        <f>IF(Table1[[#This Row],[Age]]&lt;25,"Under 25",IF(Table1[[#This Row],[Age]]&lt;35,"25-34",IF(Table1[[#This Row],[Age]]&lt;45,"35-44",IF(Table1[[#This Row],[Age]]&lt;55,"45-54","55+"))))</f>
        <v>55+</v>
      </c>
    </row>
    <row r="32" spans="1:12" x14ac:dyDescent="0.3">
      <c r="A32" s="8" t="s">
        <v>55</v>
      </c>
      <c r="B32" s="6">
        <v>37</v>
      </c>
      <c r="C32" s="8" t="s">
        <v>17</v>
      </c>
      <c r="D32" s="6">
        <v>21</v>
      </c>
      <c r="E32" s="2">
        <v>4680.58</v>
      </c>
      <c r="F32" s="2">
        <v>102259.27</v>
      </c>
      <c r="G32" s="8" t="s">
        <v>13</v>
      </c>
      <c r="H32" t="s">
        <v>25</v>
      </c>
      <c r="I32">
        <v>9</v>
      </c>
      <c r="J32" t="s">
        <v>18</v>
      </c>
      <c r="K32" s="8" t="s">
        <v>23</v>
      </c>
      <c r="L32" t="str">
        <f>IF(Table1[[#This Row],[Age]]&lt;25,"Under 25",IF(Table1[[#This Row],[Age]]&lt;35,"25-34",IF(Table1[[#This Row],[Age]]&lt;45,"35-44",IF(Table1[[#This Row],[Age]]&lt;55,"45-54","55+"))))</f>
        <v>35-44</v>
      </c>
    </row>
    <row r="33" spans="1:12" x14ac:dyDescent="0.3">
      <c r="A33" s="8" t="s">
        <v>56</v>
      </c>
      <c r="B33" s="6">
        <v>31</v>
      </c>
      <c r="C33" s="8" t="s">
        <v>17</v>
      </c>
      <c r="D33" s="6">
        <v>9</v>
      </c>
      <c r="E33" s="2">
        <v>4699.67</v>
      </c>
      <c r="F33" s="2">
        <v>43656.02</v>
      </c>
      <c r="G33" s="8" t="s">
        <v>20</v>
      </c>
      <c r="H33" t="s">
        <v>37</v>
      </c>
      <c r="I33">
        <v>4</v>
      </c>
      <c r="J33" t="s">
        <v>18</v>
      </c>
      <c r="K33" s="8" t="s">
        <v>23</v>
      </c>
      <c r="L33" t="str">
        <f>IF(Table1[[#This Row],[Age]]&lt;25,"Under 25",IF(Table1[[#This Row],[Age]]&lt;35,"25-34",IF(Table1[[#This Row],[Age]]&lt;45,"35-44",IF(Table1[[#This Row],[Age]]&lt;55,"45-54","55+"))))</f>
        <v>25-34</v>
      </c>
    </row>
    <row r="34" spans="1:12" x14ac:dyDescent="0.3">
      <c r="A34" s="8" t="s">
        <v>57</v>
      </c>
      <c r="B34" s="6">
        <v>52</v>
      </c>
      <c r="C34" s="8" t="s">
        <v>17</v>
      </c>
      <c r="D34" s="6">
        <v>40</v>
      </c>
      <c r="E34" s="2">
        <v>4927.34</v>
      </c>
      <c r="F34" s="2">
        <v>201245.38</v>
      </c>
      <c r="G34" s="8" t="s">
        <v>13</v>
      </c>
      <c r="H34" t="s">
        <v>25</v>
      </c>
      <c r="I34">
        <v>4</v>
      </c>
      <c r="J34" t="s">
        <v>15</v>
      </c>
      <c r="K34" s="8" t="s">
        <v>23</v>
      </c>
      <c r="L34" t="str">
        <f>IF(Table1[[#This Row],[Age]]&lt;25,"Under 25",IF(Table1[[#This Row],[Age]]&lt;35,"25-34",IF(Table1[[#This Row],[Age]]&lt;45,"35-44",IF(Table1[[#This Row],[Age]]&lt;55,"45-54","55+"))))</f>
        <v>45-54</v>
      </c>
    </row>
    <row r="35" spans="1:12" x14ac:dyDescent="0.3">
      <c r="A35" s="8" t="s">
        <v>58</v>
      </c>
      <c r="B35" s="6">
        <v>26</v>
      </c>
      <c r="C35" s="8" t="s">
        <v>17</v>
      </c>
      <c r="D35" s="6">
        <v>8</v>
      </c>
      <c r="E35" s="2">
        <v>4503.71</v>
      </c>
      <c r="F35" s="2">
        <v>36439.07</v>
      </c>
      <c r="G35" s="8" t="s">
        <v>13</v>
      </c>
      <c r="H35" t="s">
        <v>37</v>
      </c>
      <c r="I35">
        <v>9</v>
      </c>
      <c r="J35" t="s">
        <v>18</v>
      </c>
      <c r="K35" s="8" t="s">
        <v>23</v>
      </c>
      <c r="L35" t="str">
        <f>IF(Table1[[#This Row],[Age]]&lt;25,"Under 25",IF(Table1[[#This Row],[Age]]&lt;35,"25-34",IF(Table1[[#This Row],[Age]]&lt;45,"35-44",IF(Table1[[#This Row],[Age]]&lt;55,"45-54","55+"))))</f>
        <v>25-34</v>
      </c>
    </row>
    <row r="36" spans="1:12" x14ac:dyDescent="0.3">
      <c r="A36" s="8" t="s">
        <v>59</v>
      </c>
      <c r="B36" s="6">
        <v>31</v>
      </c>
      <c r="C36" s="8" t="s">
        <v>17</v>
      </c>
      <c r="D36" s="6">
        <v>33</v>
      </c>
      <c r="E36" s="2">
        <v>2698.39</v>
      </c>
      <c r="F36" s="2">
        <v>92234.79</v>
      </c>
      <c r="G36" s="8" t="s">
        <v>20</v>
      </c>
      <c r="H36" t="s">
        <v>14</v>
      </c>
      <c r="I36">
        <v>10</v>
      </c>
      <c r="J36" t="s">
        <v>22</v>
      </c>
      <c r="K36" s="8" t="s">
        <v>15</v>
      </c>
      <c r="L36" t="str">
        <f>IF(Table1[[#This Row],[Age]]&lt;25,"Under 25",IF(Table1[[#This Row],[Age]]&lt;35,"25-34",IF(Table1[[#This Row],[Age]]&lt;45,"35-44",IF(Table1[[#This Row],[Age]]&lt;55,"45-54","55+"))))</f>
        <v>25-34</v>
      </c>
    </row>
    <row r="37" spans="1:12" x14ac:dyDescent="0.3">
      <c r="A37" s="8" t="s">
        <v>60</v>
      </c>
      <c r="B37" s="6">
        <v>20</v>
      </c>
      <c r="C37" s="8" t="s">
        <v>12</v>
      </c>
      <c r="D37" s="6">
        <v>22</v>
      </c>
      <c r="E37" s="2">
        <v>3970.04</v>
      </c>
      <c r="F37" s="2">
        <v>86953.7</v>
      </c>
      <c r="G37" s="8" t="s">
        <v>13</v>
      </c>
      <c r="H37" t="s">
        <v>46</v>
      </c>
      <c r="I37">
        <v>8</v>
      </c>
      <c r="J37" t="s">
        <v>15</v>
      </c>
      <c r="K37" s="8" t="s">
        <v>23</v>
      </c>
      <c r="L37" t="str">
        <f>IF(Table1[[#This Row],[Age]]&lt;25,"Under 25",IF(Table1[[#This Row],[Age]]&lt;35,"25-34",IF(Table1[[#This Row],[Age]]&lt;45,"35-44",IF(Table1[[#This Row],[Age]]&lt;55,"45-54","55+"))))</f>
        <v>Under 25</v>
      </c>
    </row>
    <row r="38" spans="1:12" x14ac:dyDescent="0.3">
      <c r="A38" s="8" t="s">
        <v>61</v>
      </c>
      <c r="B38" s="6">
        <v>18</v>
      </c>
      <c r="C38" s="8" t="s">
        <v>12</v>
      </c>
      <c r="D38" s="6">
        <v>5</v>
      </c>
      <c r="E38" s="2">
        <v>4752.7299999999996</v>
      </c>
      <c r="F38" s="2">
        <v>23850.46</v>
      </c>
      <c r="G38" s="8" t="s">
        <v>13</v>
      </c>
      <c r="H38" t="s">
        <v>14</v>
      </c>
      <c r="I38">
        <v>5</v>
      </c>
      <c r="J38" t="s">
        <v>15</v>
      </c>
      <c r="K38" s="8" t="s">
        <v>23</v>
      </c>
      <c r="L38" t="str">
        <f>IF(Table1[[#This Row],[Age]]&lt;25,"Under 25",IF(Table1[[#This Row],[Age]]&lt;35,"25-34",IF(Table1[[#This Row],[Age]]&lt;45,"35-44",IF(Table1[[#This Row],[Age]]&lt;55,"45-54","55+"))))</f>
        <v>Under 25</v>
      </c>
    </row>
    <row r="39" spans="1:12" x14ac:dyDescent="0.3">
      <c r="A39" s="8" t="s">
        <v>62</v>
      </c>
      <c r="B39" s="6">
        <v>45</v>
      </c>
      <c r="C39" s="8" t="s">
        <v>12</v>
      </c>
      <c r="D39" s="6">
        <v>3</v>
      </c>
      <c r="E39" s="2">
        <v>1887.16</v>
      </c>
      <c r="F39" s="2">
        <v>5858.77</v>
      </c>
      <c r="G39" s="8" t="s">
        <v>35</v>
      </c>
      <c r="H39" t="s">
        <v>14</v>
      </c>
      <c r="I39">
        <v>5</v>
      </c>
      <c r="J39" t="s">
        <v>18</v>
      </c>
      <c r="K39" s="8" t="s">
        <v>15</v>
      </c>
      <c r="L39" t="str">
        <f>IF(Table1[[#This Row],[Age]]&lt;25,"Under 25",IF(Table1[[#This Row],[Age]]&lt;35,"25-34",IF(Table1[[#This Row],[Age]]&lt;45,"35-44",IF(Table1[[#This Row],[Age]]&lt;55,"45-54","55+"))))</f>
        <v>45-54</v>
      </c>
    </row>
    <row r="40" spans="1:12" x14ac:dyDescent="0.3">
      <c r="A40" s="8" t="s">
        <v>63</v>
      </c>
      <c r="B40" s="6">
        <v>60</v>
      </c>
      <c r="C40" s="8" t="s">
        <v>12</v>
      </c>
      <c r="D40" s="6">
        <v>23</v>
      </c>
      <c r="E40" s="2">
        <v>4010.52</v>
      </c>
      <c r="F40" s="2">
        <v>95250.91</v>
      </c>
      <c r="G40" s="8" t="s">
        <v>13</v>
      </c>
      <c r="H40" t="s">
        <v>25</v>
      </c>
      <c r="I40">
        <v>2</v>
      </c>
      <c r="J40" t="s">
        <v>18</v>
      </c>
      <c r="K40" s="8" t="s">
        <v>15</v>
      </c>
      <c r="L40" t="str">
        <f>IF(Table1[[#This Row],[Age]]&lt;25,"Under 25",IF(Table1[[#This Row],[Age]]&lt;35,"25-34",IF(Table1[[#This Row],[Age]]&lt;45,"35-44",IF(Table1[[#This Row],[Age]]&lt;55,"45-54","55+"))))</f>
        <v>55+</v>
      </c>
    </row>
    <row r="41" spans="1:12" x14ac:dyDescent="0.3">
      <c r="A41" s="8" t="s">
        <v>64</v>
      </c>
      <c r="B41" s="6">
        <v>29</v>
      </c>
      <c r="C41" s="8" t="s">
        <v>17</v>
      </c>
      <c r="D41" s="6">
        <v>2</v>
      </c>
      <c r="E41" s="2">
        <v>1307.1199999999999</v>
      </c>
      <c r="F41" s="2">
        <v>2715.34</v>
      </c>
      <c r="G41" s="8" t="s">
        <v>35</v>
      </c>
      <c r="H41" t="s">
        <v>46</v>
      </c>
      <c r="I41">
        <v>10</v>
      </c>
      <c r="J41" t="s">
        <v>15</v>
      </c>
      <c r="K41" s="8" t="s">
        <v>15</v>
      </c>
      <c r="L41" t="str">
        <f>IF(Table1[[#This Row],[Age]]&lt;25,"Under 25",IF(Table1[[#This Row],[Age]]&lt;35,"25-34",IF(Table1[[#This Row],[Age]]&lt;45,"35-44",IF(Table1[[#This Row],[Age]]&lt;55,"45-54","55+"))))</f>
        <v>25-34</v>
      </c>
    </row>
    <row r="42" spans="1:12" x14ac:dyDescent="0.3">
      <c r="A42" s="8" t="s">
        <v>65</v>
      </c>
      <c r="B42" s="6">
        <v>35</v>
      </c>
      <c r="C42" s="8" t="s">
        <v>12</v>
      </c>
      <c r="D42" s="6">
        <v>51</v>
      </c>
      <c r="E42" s="2">
        <v>3655.75</v>
      </c>
      <c r="F42" s="2">
        <v>178497.27</v>
      </c>
      <c r="G42" s="8" t="s">
        <v>13</v>
      </c>
      <c r="H42" t="s">
        <v>46</v>
      </c>
      <c r="I42">
        <v>3</v>
      </c>
      <c r="J42" t="s">
        <v>18</v>
      </c>
      <c r="K42" s="8" t="s">
        <v>15</v>
      </c>
      <c r="L42" t="str">
        <f>IF(Table1[[#This Row],[Age]]&lt;25,"Under 25",IF(Table1[[#This Row],[Age]]&lt;35,"25-34",IF(Table1[[#This Row],[Age]]&lt;45,"35-44",IF(Table1[[#This Row],[Age]]&lt;55,"45-54","55+"))))</f>
        <v>35-44</v>
      </c>
    </row>
    <row r="43" spans="1:12" x14ac:dyDescent="0.3">
      <c r="A43" s="8" t="s">
        <v>66</v>
      </c>
      <c r="B43" s="6">
        <v>47</v>
      </c>
      <c r="C43" s="8" t="s">
        <v>17</v>
      </c>
      <c r="D43" s="6">
        <v>20</v>
      </c>
      <c r="E43" s="2">
        <v>4192.41</v>
      </c>
      <c r="F43" s="2">
        <v>86422.21</v>
      </c>
      <c r="G43" s="8" t="s">
        <v>13</v>
      </c>
      <c r="H43" t="s">
        <v>21</v>
      </c>
      <c r="I43">
        <v>6</v>
      </c>
      <c r="J43" t="s">
        <v>22</v>
      </c>
      <c r="K43" s="8" t="s">
        <v>23</v>
      </c>
      <c r="L43" t="str">
        <f>IF(Table1[[#This Row],[Age]]&lt;25,"Under 25",IF(Table1[[#This Row],[Age]]&lt;35,"25-34",IF(Table1[[#This Row],[Age]]&lt;45,"35-44",IF(Table1[[#This Row],[Age]]&lt;55,"45-54","55+"))))</f>
        <v>45-54</v>
      </c>
    </row>
    <row r="44" spans="1:12" x14ac:dyDescent="0.3">
      <c r="A44" s="8" t="s">
        <v>67</v>
      </c>
      <c r="B44" s="6">
        <v>22</v>
      </c>
      <c r="C44" s="8" t="s">
        <v>17</v>
      </c>
      <c r="D44" s="6">
        <v>23</v>
      </c>
      <c r="E44" s="2">
        <v>3386.67</v>
      </c>
      <c r="F44" s="2">
        <v>74773.919999999998</v>
      </c>
      <c r="G44" s="8" t="s">
        <v>20</v>
      </c>
      <c r="H44" t="s">
        <v>25</v>
      </c>
      <c r="I44">
        <v>5</v>
      </c>
      <c r="J44" t="s">
        <v>18</v>
      </c>
      <c r="K44" s="8" t="s">
        <v>23</v>
      </c>
      <c r="L44" t="str">
        <f>IF(Table1[[#This Row],[Age]]&lt;25,"Under 25",IF(Table1[[#This Row],[Age]]&lt;35,"25-34",IF(Table1[[#This Row],[Age]]&lt;45,"35-44",IF(Table1[[#This Row],[Age]]&lt;55,"45-54","55+"))))</f>
        <v>Under 25</v>
      </c>
    </row>
    <row r="45" spans="1:12" x14ac:dyDescent="0.3">
      <c r="A45" s="8" t="s">
        <v>68</v>
      </c>
      <c r="B45" s="6">
        <v>34</v>
      </c>
      <c r="C45" s="8" t="s">
        <v>12</v>
      </c>
      <c r="D45" s="6">
        <v>38</v>
      </c>
      <c r="E45" s="2">
        <v>4831.3999999999996</v>
      </c>
      <c r="F45" s="2">
        <v>172544.55</v>
      </c>
      <c r="G45" s="8" t="s">
        <v>13</v>
      </c>
      <c r="H45" t="s">
        <v>46</v>
      </c>
      <c r="I45">
        <v>5</v>
      </c>
      <c r="J45" t="s">
        <v>15</v>
      </c>
      <c r="K45" s="8" t="s">
        <v>15</v>
      </c>
      <c r="L45" t="str">
        <f>IF(Table1[[#This Row],[Age]]&lt;25,"Under 25",IF(Table1[[#This Row],[Age]]&lt;35,"25-34",IF(Table1[[#This Row],[Age]]&lt;45,"35-44",IF(Table1[[#This Row],[Age]]&lt;55,"45-54","55+"))))</f>
        <v>25-34</v>
      </c>
    </row>
    <row r="46" spans="1:12" x14ac:dyDescent="0.3">
      <c r="A46" s="8" t="s">
        <v>69</v>
      </c>
      <c r="B46" s="6">
        <v>45</v>
      </c>
      <c r="C46" s="8" t="s">
        <v>12</v>
      </c>
      <c r="D46" s="6">
        <v>25</v>
      </c>
      <c r="E46" s="2">
        <v>4547.7700000000004</v>
      </c>
      <c r="F46" s="2">
        <v>105566.45</v>
      </c>
      <c r="G46" s="8" t="s">
        <v>13</v>
      </c>
      <c r="H46" t="s">
        <v>46</v>
      </c>
      <c r="I46">
        <v>0</v>
      </c>
      <c r="J46" t="s">
        <v>15</v>
      </c>
      <c r="K46" s="8" t="s">
        <v>15</v>
      </c>
      <c r="L46" t="str">
        <f>IF(Table1[[#This Row],[Age]]&lt;25,"Under 25",IF(Table1[[#This Row],[Age]]&lt;35,"25-34",IF(Table1[[#This Row],[Age]]&lt;45,"35-44",IF(Table1[[#This Row],[Age]]&lt;55,"45-54","55+"))))</f>
        <v>45-54</v>
      </c>
    </row>
    <row r="47" spans="1:12" x14ac:dyDescent="0.3">
      <c r="A47" s="8" t="s">
        <v>70</v>
      </c>
      <c r="B47" s="6">
        <v>52</v>
      </c>
      <c r="C47" s="8" t="s">
        <v>12</v>
      </c>
      <c r="D47" s="6">
        <v>24</v>
      </c>
      <c r="E47" s="2">
        <v>2440.84</v>
      </c>
      <c r="F47" s="2">
        <v>61059.93</v>
      </c>
      <c r="G47" s="8" t="s">
        <v>20</v>
      </c>
      <c r="H47" t="s">
        <v>25</v>
      </c>
      <c r="I47">
        <v>5</v>
      </c>
      <c r="J47" t="s">
        <v>15</v>
      </c>
      <c r="K47" s="8" t="s">
        <v>15</v>
      </c>
      <c r="L47" t="str">
        <f>IF(Table1[[#This Row],[Age]]&lt;25,"Under 25",IF(Table1[[#This Row],[Age]]&lt;35,"25-34",IF(Table1[[#This Row],[Age]]&lt;45,"35-44",IF(Table1[[#This Row],[Age]]&lt;55,"45-54","55+"))))</f>
        <v>45-54</v>
      </c>
    </row>
    <row r="48" spans="1:12" x14ac:dyDescent="0.3">
      <c r="A48" s="8" t="s">
        <v>71</v>
      </c>
      <c r="B48" s="6">
        <v>64</v>
      </c>
      <c r="C48" s="8" t="s">
        <v>17</v>
      </c>
      <c r="D48" s="6">
        <v>33</v>
      </c>
      <c r="E48" s="2">
        <v>1891.78</v>
      </c>
      <c r="F48" s="2">
        <v>60010.18</v>
      </c>
      <c r="G48" s="8" t="s">
        <v>13</v>
      </c>
      <c r="H48" t="s">
        <v>37</v>
      </c>
      <c r="I48">
        <v>8</v>
      </c>
      <c r="J48" t="s">
        <v>18</v>
      </c>
      <c r="K48" s="8" t="s">
        <v>23</v>
      </c>
      <c r="L48" t="str">
        <f>IF(Table1[[#This Row],[Age]]&lt;25,"Under 25",IF(Table1[[#This Row],[Age]]&lt;35,"25-34",IF(Table1[[#This Row],[Age]]&lt;45,"35-44",IF(Table1[[#This Row],[Age]]&lt;55,"45-54","55+"))))</f>
        <v>55+</v>
      </c>
    </row>
    <row r="49" spans="1:12" x14ac:dyDescent="0.3">
      <c r="A49" s="8" t="s">
        <v>72</v>
      </c>
      <c r="B49" s="6">
        <v>60</v>
      </c>
      <c r="C49" s="8" t="s">
        <v>17</v>
      </c>
      <c r="D49" s="6">
        <v>44</v>
      </c>
      <c r="E49" s="2">
        <v>3866.61</v>
      </c>
      <c r="F49" s="2">
        <v>157558.87</v>
      </c>
      <c r="G49" s="8" t="s">
        <v>35</v>
      </c>
      <c r="H49" t="s">
        <v>46</v>
      </c>
      <c r="I49">
        <v>8</v>
      </c>
      <c r="J49" t="s">
        <v>18</v>
      </c>
      <c r="K49" s="8" t="s">
        <v>23</v>
      </c>
      <c r="L49" t="str">
        <f>IF(Table1[[#This Row],[Age]]&lt;25,"Under 25",IF(Table1[[#This Row],[Age]]&lt;35,"25-34",IF(Table1[[#This Row],[Age]]&lt;45,"35-44",IF(Table1[[#This Row],[Age]]&lt;55,"45-54","55+"))))</f>
        <v>55+</v>
      </c>
    </row>
    <row r="50" spans="1:12" x14ac:dyDescent="0.3">
      <c r="A50" s="8" t="s">
        <v>73</v>
      </c>
      <c r="B50" s="6">
        <v>31</v>
      </c>
      <c r="C50" s="8" t="s">
        <v>17</v>
      </c>
      <c r="D50" s="6">
        <v>51</v>
      </c>
      <c r="E50" s="2">
        <v>3109.93</v>
      </c>
      <c r="F50" s="2">
        <v>158321.87</v>
      </c>
      <c r="G50" s="8" t="s">
        <v>13</v>
      </c>
      <c r="H50" t="s">
        <v>46</v>
      </c>
      <c r="I50">
        <v>10</v>
      </c>
      <c r="J50" t="s">
        <v>18</v>
      </c>
      <c r="K50" s="8" t="s">
        <v>23</v>
      </c>
      <c r="L50" t="str">
        <f>IF(Table1[[#This Row],[Age]]&lt;25,"Under 25",IF(Table1[[#This Row],[Age]]&lt;35,"25-34",IF(Table1[[#This Row],[Age]]&lt;45,"35-44",IF(Table1[[#This Row],[Age]]&lt;55,"45-54","55+"))))</f>
        <v>25-34</v>
      </c>
    </row>
    <row r="51" spans="1:12" x14ac:dyDescent="0.3">
      <c r="A51" s="8" t="s">
        <v>74</v>
      </c>
      <c r="B51" s="6">
        <v>65</v>
      </c>
      <c r="C51" s="8" t="s">
        <v>12</v>
      </c>
      <c r="D51" s="6">
        <v>43</v>
      </c>
      <c r="E51" s="2">
        <v>881.58</v>
      </c>
      <c r="F51" s="2">
        <v>37048.1</v>
      </c>
      <c r="G51" s="8" t="s">
        <v>35</v>
      </c>
      <c r="H51" t="s">
        <v>37</v>
      </c>
      <c r="I51">
        <v>1</v>
      </c>
      <c r="J51" t="s">
        <v>18</v>
      </c>
      <c r="K51" s="8" t="s">
        <v>15</v>
      </c>
      <c r="L51" t="str">
        <f>IF(Table1[[#This Row],[Age]]&lt;25,"Under 25",IF(Table1[[#This Row],[Age]]&lt;35,"25-34",IF(Table1[[#This Row],[Age]]&lt;45,"35-44",IF(Table1[[#This Row],[Age]]&lt;55,"45-54","55+"))))</f>
        <v>55+</v>
      </c>
    </row>
    <row r="52" spans="1:12" x14ac:dyDescent="0.3">
      <c r="A52" s="8" t="s">
        <v>75</v>
      </c>
      <c r="B52" s="6">
        <v>32</v>
      </c>
      <c r="C52" s="8" t="s">
        <v>12</v>
      </c>
      <c r="D52" s="6">
        <v>10</v>
      </c>
      <c r="E52" s="2">
        <v>609.91</v>
      </c>
      <c r="F52" s="2">
        <v>5713.19</v>
      </c>
      <c r="G52" s="8" t="s">
        <v>13</v>
      </c>
      <c r="H52" t="s">
        <v>14</v>
      </c>
      <c r="I52">
        <v>7</v>
      </c>
      <c r="J52" t="s">
        <v>22</v>
      </c>
      <c r="K52" s="8" t="s">
        <v>15</v>
      </c>
      <c r="L52" t="str">
        <f>IF(Table1[[#This Row],[Age]]&lt;25,"Under 25",IF(Table1[[#This Row],[Age]]&lt;35,"25-34",IF(Table1[[#This Row],[Age]]&lt;45,"35-44",IF(Table1[[#This Row],[Age]]&lt;55,"45-54","55+"))))</f>
        <v>25-34</v>
      </c>
    </row>
    <row r="53" spans="1:12" x14ac:dyDescent="0.3">
      <c r="A53" s="8" t="s">
        <v>76</v>
      </c>
      <c r="B53" s="6">
        <v>54</v>
      </c>
      <c r="C53" s="8" t="s">
        <v>12</v>
      </c>
      <c r="D53" s="6">
        <v>46</v>
      </c>
      <c r="E53" s="2">
        <v>3633.59</v>
      </c>
      <c r="F53" s="2">
        <v>162825.54</v>
      </c>
      <c r="G53" s="8" t="s">
        <v>13</v>
      </c>
      <c r="H53" t="s">
        <v>14</v>
      </c>
      <c r="I53">
        <v>1</v>
      </c>
      <c r="J53" t="s">
        <v>22</v>
      </c>
      <c r="K53" s="8" t="s">
        <v>23</v>
      </c>
      <c r="L53" t="str">
        <f>IF(Table1[[#This Row],[Age]]&lt;25,"Under 25",IF(Table1[[#This Row],[Age]]&lt;35,"25-34",IF(Table1[[#This Row],[Age]]&lt;45,"35-44",IF(Table1[[#This Row],[Age]]&lt;55,"45-54","55+"))))</f>
        <v>45-54</v>
      </c>
    </row>
    <row r="54" spans="1:12" x14ac:dyDescent="0.3">
      <c r="A54" s="8" t="s">
        <v>77</v>
      </c>
      <c r="B54" s="6">
        <v>62</v>
      </c>
      <c r="C54" s="8" t="s">
        <v>17</v>
      </c>
      <c r="D54" s="6">
        <v>4</v>
      </c>
      <c r="E54" s="2">
        <v>3008.33</v>
      </c>
      <c r="F54" s="2">
        <v>12486.02</v>
      </c>
      <c r="G54" s="8" t="s">
        <v>13</v>
      </c>
      <c r="H54" t="s">
        <v>21</v>
      </c>
      <c r="I54">
        <v>7</v>
      </c>
      <c r="J54" t="s">
        <v>15</v>
      </c>
      <c r="K54" s="8" t="s">
        <v>23</v>
      </c>
      <c r="L54" t="str">
        <f>IF(Table1[[#This Row],[Age]]&lt;25,"Under 25",IF(Table1[[#This Row],[Age]]&lt;35,"25-34",IF(Table1[[#This Row],[Age]]&lt;45,"35-44",IF(Table1[[#This Row],[Age]]&lt;55,"45-54","55+"))))</f>
        <v>55+</v>
      </c>
    </row>
    <row r="55" spans="1:12" x14ac:dyDescent="0.3">
      <c r="A55" s="8" t="s">
        <v>78</v>
      </c>
      <c r="B55" s="6">
        <v>53</v>
      </c>
      <c r="C55" s="8" t="s">
        <v>17</v>
      </c>
      <c r="D55" s="6">
        <v>49</v>
      </c>
      <c r="E55" s="2">
        <v>4511.42</v>
      </c>
      <c r="F55" s="2">
        <v>219268.52</v>
      </c>
      <c r="G55" s="8" t="s">
        <v>35</v>
      </c>
      <c r="H55" t="s">
        <v>25</v>
      </c>
      <c r="I55">
        <v>6</v>
      </c>
      <c r="J55" t="s">
        <v>15</v>
      </c>
      <c r="K55" s="8" t="s">
        <v>15</v>
      </c>
      <c r="L55" t="str">
        <f>IF(Table1[[#This Row],[Age]]&lt;25,"Under 25",IF(Table1[[#This Row],[Age]]&lt;35,"25-34",IF(Table1[[#This Row],[Age]]&lt;45,"35-44",IF(Table1[[#This Row],[Age]]&lt;55,"45-54","55+"))))</f>
        <v>45-54</v>
      </c>
    </row>
    <row r="56" spans="1:12" x14ac:dyDescent="0.3">
      <c r="A56" s="8" t="s">
        <v>79</v>
      </c>
      <c r="B56" s="6">
        <v>28</v>
      </c>
      <c r="C56" s="8" t="s">
        <v>17</v>
      </c>
      <c r="D56" s="6">
        <v>29</v>
      </c>
      <c r="E56" s="2">
        <v>1666.36</v>
      </c>
      <c r="F56" s="2">
        <v>45284.15</v>
      </c>
      <c r="G56" s="8" t="s">
        <v>35</v>
      </c>
      <c r="H56" t="s">
        <v>25</v>
      </c>
      <c r="I56">
        <v>7</v>
      </c>
      <c r="J56" t="s">
        <v>15</v>
      </c>
      <c r="K56" s="8" t="s">
        <v>23</v>
      </c>
      <c r="L56" t="str">
        <f>IF(Table1[[#This Row],[Age]]&lt;25,"Under 25",IF(Table1[[#This Row],[Age]]&lt;35,"25-34",IF(Table1[[#This Row],[Age]]&lt;45,"35-44",IF(Table1[[#This Row],[Age]]&lt;55,"45-54","55+"))))</f>
        <v>25-34</v>
      </c>
    </row>
    <row r="57" spans="1:12" x14ac:dyDescent="0.3">
      <c r="A57" s="8" t="s">
        <v>80</v>
      </c>
      <c r="B57" s="6">
        <v>46</v>
      </c>
      <c r="C57" s="8" t="s">
        <v>12</v>
      </c>
      <c r="D57" s="6">
        <v>46</v>
      </c>
      <c r="E57" s="2">
        <v>1785.78</v>
      </c>
      <c r="F57" s="2">
        <v>77279.33</v>
      </c>
      <c r="G57" s="8" t="s">
        <v>13</v>
      </c>
      <c r="H57" t="s">
        <v>25</v>
      </c>
      <c r="I57">
        <v>1</v>
      </c>
      <c r="J57" t="s">
        <v>18</v>
      </c>
      <c r="K57" s="8" t="s">
        <v>23</v>
      </c>
      <c r="L57" t="str">
        <f>IF(Table1[[#This Row],[Age]]&lt;25,"Under 25",IF(Table1[[#This Row],[Age]]&lt;35,"25-34",IF(Table1[[#This Row],[Age]]&lt;45,"35-44",IF(Table1[[#This Row],[Age]]&lt;55,"45-54","55+"))))</f>
        <v>45-54</v>
      </c>
    </row>
    <row r="58" spans="1:12" x14ac:dyDescent="0.3">
      <c r="A58" s="8" t="s">
        <v>81</v>
      </c>
      <c r="B58" s="6">
        <v>42</v>
      </c>
      <c r="C58" s="8" t="s">
        <v>12</v>
      </c>
      <c r="D58" s="6">
        <v>46</v>
      </c>
      <c r="E58" s="2">
        <v>1462.79</v>
      </c>
      <c r="F58" s="2">
        <v>64746.87</v>
      </c>
      <c r="G58" s="8" t="s">
        <v>13</v>
      </c>
      <c r="H58" t="s">
        <v>46</v>
      </c>
      <c r="I58">
        <v>6</v>
      </c>
      <c r="J58" t="s">
        <v>18</v>
      </c>
      <c r="K58" s="8" t="s">
        <v>23</v>
      </c>
      <c r="L58" t="str">
        <f>IF(Table1[[#This Row],[Age]]&lt;25,"Under 25",IF(Table1[[#This Row],[Age]]&lt;35,"25-34",IF(Table1[[#This Row],[Age]]&lt;45,"35-44",IF(Table1[[#This Row],[Age]]&lt;55,"45-54","55+"))))</f>
        <v>35-44</v>
      </c>
    </row>
    <row r="59" spans="1:12" x14ac:dyDescent="0.3">
      <c r="A59" s="8" t="s">
        <v>82</v>
      </c>
      <c r="B59" s="6">
        <v>44</v>
      </c>
      <c r="C59" s="8" t="s">
        <v>17</v>
      </c>
      <c r="D59" s="6">
        <v>58</v>
      </c>
      <c r="E59" s="2">
        <v>3964.08</v>
      </c>
      <c r="F59" s="2">
        <v>239552.29</v>
      </c>
      <c r="G59" s="8" t="s">
        <v>13</v>
      </c>
      <c r="H59" t="s">
        <v>25</v>
      </c>
      <c r="I59">
        <v>6</v>
      </c>
      <c r="J59" t="s">
        <v>22</v>
      </c>
      <c r="K59" s="8" t="s">
        <v>23</v>
      </c>
      <c r="L59" t="str">
        <f>IF(Table1[[#This Row],[Age]]&lt;25,"Under 25",IF(Table1[[#This Row],[Age]]&lt;35,"25-34",IF(Table1[[#This Row],[Age]]&lt;45,"35-44",IF(Table1[[#This Row],[Age]]&lt;55,"45-54","55+"))))</f>
        <v>35-44</v>
      </c>
    </row>
    <row r="60" spans="1:12" x14ac:dyDescent="0.3">
      <c r="A60" s="8" t="s">
        <v>83</v>
      </c>
      <c r="B60" s="6">
        <v>40</v>
      </c>
      <c r="C60" s="8" t="s">
        <v>17</v>
      </c>
      <c r="D60" s="6">
        <v>49</v>
      </c>
      <c r="E60" s="2">
        <v>2254.94</v>
      </c>
      <c r="F60" s="2">
        <v>114220.75</v>
      </c>
      <c r="G60" s="8" t="s">
        <v>20</v>
      </c>
      <c r="H60" t="s">
        <v>25</v>
      </c>
      <c r="I60">
        <v>8</v>
      </c>
      <c r="J60" t="s">
        <v>15</v>
      </c>
      <c r="K60" s="8" t="s">
        <v>15</v>
      </c>
      <c r="L60" t="str">
        <f>IF(Table1[[#This Row],[Age]]&lt;25,"Under 25",IF(Table1[[#This Row],[Age]]&lt;35,"25-34",IF(Table1[[#This Row],[Age]]&lt;45,"35-44",IF(Table1[[#This Row],[Age]]&lt;55,"45-54","55+"))))</f>
        <v>35-44</v>
      </c>
    </row>
    <row r="61" spans="1:12" x14ac:dyDescent="0.3">
      <c r="A61" s="8" t="s">
        <v>84</v>
      </c>
      <c r="B61" s="6">
        <v>49</v>
      </c>
      <c r="C61" s="8" t="s">
        <v>12</v>
      </c>
      <c r="D61" s="6">
        <v>18</v>
      </c>
      <c r="E61" s="2">
        <v>2461.2600000000002</v>
      </c>
      <c r="F61" s="2">
        <v>40065.29</v>
      </c>
      <c r="G61" s="8" t="s">
        <v>13</v>
      </c>
      <c r="H61" t="s">
        <v>46</v>
      </c>
      <c r="I61">
        <v>2</v>
      </c>
      <c r="J61" t="s">
        <v>22</v>
      </c>
      <c r="K61" s="8" t="s">
        <v>15</v>
      </c>
      <c r="L61" t="str">
        <f>IF(Table1[[#This Row],[Age]]&lt;25,"Under 25",IF(Table1[[#This Row],[Age]]&lt;35,"25-34",IF(Table1[[#This Row],[Age]]&lt;45,"35-44",IF(Table1[[#This Row],[Age]]&lt;55,"45-54","55+"))))</f>
        <v>45-54</v>
      </c>
    </row>
    <row r="62" spans="1:12" x14ac:dyDescent="0.3">
      <c r="A62" s="8" t="s">
        <v>85</v>
      </c>
      <c r="B62" s="6">
        <v>57</v>
      </c>
      <c r="C62" s="8" t="s">
        <v>12</v>
      </c>
      <c r="D62" s="6">
        <v>59</v>
      </c>
      <c r="E62" s="2">
        <v>2273.09</v>
      </c>
      <c r="F62" s="2">
        <v>132054.87</v>
      </c>
      <c r="G62" s="8" t="s">
        <v>13</v>
      </c>
      <c r="H62" t="s">
        <v>46</v>
      </c>
      <c r="I62">
        <v>2</v>
      </c>
      <c r="J62" t="s">
        <v>22</v>
      </c>
      <c r="K62" s="8" t="s">
        <v>23</v>
      </c>
      <c r="L62" t="str">
        <f>IF(Table1[[#This Row],[Age]]&lt;25,"Under 25",IF(Table1[[#This Row],[Age]]&lt;35,"25-34",IF(Table1[[#This Row],[Age]]&lt;45,"35-44",IF(Table1[[#This Row],[Age]]&lt;55,"45-54","55+"))))</f>
        <v>55+</v>
      </c>
    </row>
    <row r="63" spans="1:12" x14ac:dyDescent="0.3">
      <c r="A63" s="8" t="s">
        <v>86</v>
      </c>
      <c r="B63" s="6">
        <v>34</v>
      </c>
      <c r="C63" s="8" t="s">
        <v>17</v>
      </c>
      <c r="D63" s="6">
        <v>21</v>
      </c>
      <c r="E63" s="2">
        <v>1452.47</v>
      </c>
      <c r="F63" s="2">
        <v>28947.09</v>
      </c>
      <c r="G63" s="8" t="s">
        <v>35</v>
      </c>
      <c r="H63" t="s">
        <v>46</v>
      </c>
      <c r="I63">
        <v>4</v>
      </c>
      <c r="J63" t="s">
        <v>22</v>
      </c>
      <c r="K63" s="8" t="s">
        <v>23</v>
      </c>
      <c r="L63" t="str">
        <f>IF(Table1[[#This Row],[Age]]&lt;25,"Under 25",IF(Table1[[#This Row],[Age]]&lt;35,"25-34",IF(Table1[[#This Row],[Age]]&lt;45,"35-44",IF(Table1[[#This Row],[Age]]&lt;55,"45-54","55+"))))</f>
        <v>25-34</v>
      </c>
    </row>
    <row r="64" spans="1:12" x14ac:dyDescent="0.3">
      <c r="A64" s="8" t="s">
        <v>87</v>
      </c>
      <c r="B64" s="6">
        <v>23</v>
      </c>
      <c r="C64" s="8" t="s">
        <v>17</v>
      </c>
      <c r="D64" s="6">
        <v>2</v>
      </c>
      <c r="E64" s="2">
        <v>3870.61</v>
      </c>
      <c r="F64" s="2">
        <v>7027.58</v>
      </c>
      <c r="G64" s="8" t="s">
        <v>20</v>
      </c>
      <c r="H64" t="s">
        <v>21</v>
      </c>
      <c r="I64">
        <v>10</v>
      </c>
      <c r="J64" t="s">
        <v>18</v>
      </c>
      <c r="K64" s="8" t="s">
        <v>15</v>
      </c>
      <c r="L64" t="str">
        <f>IF(Table1[[#This Row],[Age]]&lt;25,"Under 25",IF(Table1[[#This Row],[Age]]&lt;35,"25-34",IF(Table1[[#This Row],[Age]]&lt;45,"35-44",IF(Table1[[#This Row],[Age]]&lt;55,"45-54","55+"))))</f>
        <v>Under 25</v>
      </c>
    </row>
    <row r="65" spans="1:12" x14ac:dyDescent="0.3">
      <c r="A65" s="8" t="s">
        <v>88</v>
      </c>
      <c r="B65" s="6">
        <v>59</v>
      </c>
      <c r="C65" s="8" t="s">
        <v>12</v>
      </c>
      <c r="D65" s="6">
        <v>49</v>
      </c>
      <c r="E65" s="2">
        <v>639.63</v>
      </c>
      <c r="F65" s="2">
        <v>29370.23</v>
      </c>
      <c r="G65" s="8" t="s">
        <v>20</v>
      </c>
      <c r="H65" t="s">
        <v>25</v>
      </c>
      <c r="I65">
        <v>2</v>
      </c>
      <c r="J65" t="s">
        <v>18</v>
      </c>
      <c r="K65" s="8" t="s">
        <v>23</v>
      </c>
      <c r="L65" t="str">
        <f>IF(Table1[[#This Row],[Age]]&lt;25,"Under 25",IF(Table1[[#This Row],[Age]]&lt;35,"25-34",IF(Table1[[#This Row],[Age]]&lt;45,"35-44",IF(Table1[[#This Row],[Age]]&lt;55,"45-54","55+"))))</f>
        <v>55+</v>
      </c>
    </row>
    <row r="66" spans="1:12" x14ac:dyDescent="0.3">
      <c r="A66" s="8" t="s">
        <v>89</v>
      </c>
      <c r="B66" s="6">
        <v>60</v>
      </c>
      <c r="C66" s="8" t="s">
        <v>12</v>
      </c>
      <c r="D66" s="6">
        <v>37</v>
      </c>
      <c r="E66" s="2">
        <v>4764.91</v>
      </c>
      <c r="F66" s="2">
        <v>170969.44</v>
      </c>
      <c r="G66" s="8" t="s">
        <v>13</v>
      </c>
      <c r="H66" t="s">
        <v>37</v>
      </c>
      <c r="I66">
        <v>2</v>
      </c>
      <c r="J66" t="s">
        <v>15</v>
      </c>
      <c r="K66" s="8" t="s">
        <v>15</v>
      </c>
      <c r="L66" t="str">
        <f>IF(Table1[[#This Row],[Age]]&lt;25,"Under 25",IF(Table1[[#This Row],[Age]]&lt;35,"25-34",IF(Table1[[#This Row],[Age]]&lt;45,"35-44",IF(Table1[[#This Row],[Age]]&lt;55,"45-54","55+"))))</f>
        <v>55+</v>
      </c>
    </row>
    <row r="67" spans="1:12" x14ac:dyDescent="0.3">
      <c r="A67" s="8" t="s">
        <v>90</v>
      </c>
      <c r="B67" s="6">
        <v>65</v>
      </c>
      <c r="C67" s="8" t="s">
        <v>12</v>
      </c>
      <c r="D67" s="6">
        <v>50</v>
      </c>
      <c r="E67" s="2">
        <v>4186.8599999999997</v>
      </c>
      <c r="F67" s="2">
        <v>218702.33</v>
      </c>
      <c r="G67" s="8" t="s">
        <v>13</v>
      </c>
      <c r="H67" t="s">
        <v>14</v>
      </c>
      <c r="I67">
        <v>4</v>
      </c>
      <c r="J67" t="s">
        <v>15</v>
      </c>
      <c r="K67" s="8" t="s">
        <v>15</v>
      </c>
      <c r="L67" t="str">
        <f>IF(Table1[[#This Row],[Age]]&lt;25,"Under 25",IF(Table1[[#This Row],[Age]]&lt;35,"25-34",IF(Table1[[#This Row],[Age]]&lt;45,"35-44",IF(Table1[[#This Row],[Age]]&lt;55,"45-54","55+"))))</f>
        <v>55+</v>
      </c>
    </row>
    <row r="68" spans="1:12" x14ac:dyDescent="0.3">
      <c r="A68" s="8" t="s">
        <v>91</v>
      </c>
      <c r="B68" s="6">
        <v>42</v>
      </c>
      <c r="C68" s="8" t="s">
        <v>17</v>
      </c>
      <c r="D68" s="6">
        <v>46</v>
      </c>
      <c r="E68" s="2">
        <v>1392.48</v>
      </c>
      <c r="F68" s="2">
        <v>63337.61</v>
      </c>
      <c r="G68" s="8" t="s">
        <v>20</v>
      </c>
      <c r="H68" t="s">
        <v>21</v>
      </c>
      <c r="I68">
        <v>1</v>
      </c>
      <c r="J68" t="s">
        <v>15</v>
      </c>
      <c r="K68" s="8" t="s">
        <v>15</v>
      </c>
      <c r="L68" t="str">
        <f>IF(Table1[[#This Row],[Age]]&lt;25,"Under 25",IF(Table1[[#This Row],[Age]]&lt;35,"25-34",IF(Table1[[#This Row],[Age]]&lt;45,"35-44",IF(Table1[[#This Row],[Age]]&lt;55,"45-54","55+"))))</f>
        <v>35-44</v>
      </c>
    </row>
    <row r="69" spans="1:12" x14ac:dyDescent="0.3">
      <c r="A69" s="8" t="s">
        <v>92</v>
      </c>
      <c r="B69" s="6">
        <v>61</v>
      </c>
      <c r="C69" s="8" t="s">
        <v>12</v>
      </c>
      <c r="D69" s="6">
        <v>51</v>
      </c>
      <c r="E69" s="2">
        <v>4927.3</v>
      </c>
      <c r="F69" s="2">
        <v>255663.61</v>
      </c>
      <c r="G69" s="8" t="s">
        <v>13</v>
      </c>
      <c r="H69" t="s">
        <v>46</v>
      </c>
      <c r="I69">
        <v>10</v>
      </c>
      <c r="J69" t="s">
        <v>22</v>
      </c>
      <c r="K69" s="8" t="s">
        <v>23</v>
      </c>
      <c r="L69" t="str">
        <f>IF(Table1[[#This Row],[Age]]&lt;25,"Under 25",IF(Table1[[#This Row],[Age]]&lt;35,"25-34",IF(Table1[[#This Row],[Age]]&lt;45,"35-44",IF(Table1[[#This Row],[Age]]&lt;55,"45-54","55+"))))</f>
        <v>55+</v>
      </c>
    </row>
    <row r="70" spans="1:12" x14ac:dyDescent="0.3">
      <c r="A70" s="8" t="s">
        <v>93</v>
      </c>
      <c r="B70" s="6">
        <v>59</v>
      </c>
      <c r="C70" s="8" t="s">
        <v>17</v>
      </c>
      <c r="D70" s="6">
        <v>1</v>
      </c>
      <c r="E70" s="2">
        <v>4323.09</v>
      </c>
      <c r="F70" s="2">
        <v>4424.03</v>
      </c>
      <c r="G70" s="8" t="s">
        <v>13</v>
      </c>
      <c r="H70" t="s">
        <v>37</v>
      </c>
      <c r="I70">
        <v>10</v>
      </c>
      <c r="J70" t="s">
        <v>22</v>
      </c>
      <c r="K70" s="8" t="s">
        <v>15</v>
      </c>
      <c r="L70" t="str">
        <f>IF(Table1[[#This Row],[Age]]&lt;25,"Under 25",IF(Table1[[#This Row],[Age]]&lt;35,"25-34",IF(Table1[[#This Row],[Age]]&lt;45,"35-44",IF(Table1[[#This Row],[Age]]&lt;55,"45-54","55+"))))</f>
        <v>55+</v>
      </c>
    </row>
    <row r="71" spans="1:12" x14ac:dyDescent="0.3">
      <c r="A71" s="8" t="s">
        <v>94</v>
      </c>
      <c r="B71" s="6">
        <v>45</v>
      </c>
      <c r="C71" s="8" t="s">
        <v>12</v>
      </c>
      <c r="D71" s="6">
        <v>47</v>
      </c>
      <c r="E71" s="2">
        <v>2847.86</v>
      </c>
      <c r="F71" s="2">
        <v>133523.98000000001</v>
      </c>
      <c r="G71" s="8" t="s">
        <v>35</v>
      </c>
      <c r="H71" t="s">
        <v>25</v>
      </c>
      <c r="I71">
        <v>7</v>
      </c>
      <c r="J71" t="s">
        <v>22</v>
      </c>
      <c r="K71" s="8" t="s">
        <v>15</v>
      </c>
      <c r="L71" t="str">
        <f>IF(Table1[[#This Row],[Age]]&lt;25,"Under 25",IF(Table1[[#This Row],[Age]]&lt;35,"25-34",IF(Table1[[#This Row],[Age]]&lt;45,"35-44",IF(Table1[[#This Row],[Age]]&lt;55,"45-54","55+"))))</f>
        <v>45-54</v>
      </c>
    </row>
    <row r="72" spans="1:12" x14ac:dyDescent="0.3">
      <c r="A72" s="8" t="s">
        <v>95</v>
      </c>
      <c r="B72" s="6">
        <v>64</v>
      </c>
      <c r="C72" s="8" t="s">
        <v>17</v>
      </c>
      <c r="D72" s="6">
        <v>21</v>
      </c>
      <c r="E72" s="2">
        <v>4332.71</v>
      </c>
      <c r="F72" s="2">
        <v>93226.07</v>
      </c>
      <c r="G72" s="8" t="s">
        <v>13</v>
      </c>
      <c r="H72" t="s">
        <v>46</v>
      </c>
      <c r="I72">
        <v>3</v>
      </c>
      <c r="J72" t="s">
        <v>22</v>
      </c>
      <c r="K72" s="8" t="s">
        <v>15</v>
      </c>
      <c r="L72" t="str">
        <f>IF(Table1[[#This Row],[Age]]&lt;25,"Under 25",IF(Table1[[#This Row],[Age]]&lt;35,"25-34",IF(Table1[[#This Row],[Age]]&lt;45,"35-44",IF(Table1[[#This Row],[Age]]&lt;55,"45-54","55+"))))</f>
        <v>55+</v>
      </c>
    </row>
    <row r="73" spans="1:12" x14ac:dyDescent="0.3">
      <c r="A73" s="8" t="s">
        <v>96</v>
      </c>
      <c r="B73" s="6">
        <v>60</v>
      </c>
      <c r="C73" s="8" t="s">
        <v>17</v>
      </c>
      <c r="D73" s="6">
        <v>22</v>
      </c>
      <c r="E73" s="2">
        <v>629.15</v>
      </c>
      <c r="F73" s="2">
        <v>14223.91</v>
      </c>
      <c r="G73" s="8" t="s">
        <v>13</v>
      </c>
      <c r="H73" t="s">
        <v>21</v>
      </c>
      <c r="I73">
        <v>5</v>
      </c>
      <c r="J73" t="s">
        <v>22</v>
      </c>
      <c r="K73" s="8" t="s">
        <v>23</v>
      </c>
      <c r="L73" t="str">
        <f>IF(Table1[[#This Row],[Age]]&lt;25,"Under 25",IF(Table1[[#This Row],[Age]]&lt;35,"25-34",IF(Table1[[#This Row],[Age]]&lt;45,"35-44",IF(Table1[[#This Row],[Age]]&lt;55,"45-54","55+"))))</f>
        <v>55+</v>
      </c>
    </row>
    <row r="74" spans="1:12" x14ac:dyDescent="0.3">
      <c r="A74" s="8" t="s">
        <v>97</v>
      </c>
      <c r="B74" s="6">
        <v>56</v>
      </c>
      <c r="C74" s="8" t="s">
        <v>17</v>
      </c>
      <c r="D74" s="6">
        <v>36</v>
      </c>
      <c r="E74" s="2">
        <v>545.67999999999995</v>
      </c>
      <c r="F74" s="2">
        <v>20473.66</v>
      </c>
      <c r="G74" s="8" t="s">
        <v>13</v>
      </c>
      <c r="H74" t="s">
        <v>46</v>
      </c>
      <c r="I74">
        <v>7</v>
      </c>
      <c r="J74" t="s">
        <v>15</v>
      </c>
      <c r="K74" s="8" t="s">
        <v>15</v>
      </c>
      <c r="L74" t="str">
        <f>IF(Table1[[#This Row],[Age]]&lt;25,"Under 25",IF(Table1[[#This Row],[Age]]&lt;35,"25-34",IF(Table1[[#This Row],[Age]]&lt;45,"35-44",IF(Table1[[#This Row],[Age]]&lt;55,"45-54","55+"))))</f>
        <v>55+</v>
      </c>
    </row>
    <row r="75" spans="1:12" x14ac:dyDescent="0.3">
      <c r="A75" s="8" t="s">
        <v>98</v>
      </c>
      <c r="B75" s="6">
        <v>62</v>
      </c>
      <c r="C75" s="8" t="s">
        <v>17</v>
      </c>
      <c r="D75" s="6">
        <v>42</v>
      </c>
      <c r="E75" s="2">
        <v>3703.29</v>
      </c>
      <c r="F75" s="2">
        <v>150440.6</v>
      </c>
      <c r="G75" s="8" t="s">
        <v>13</v>
      </c>
      <c r="H75" t="s">
        <v>37</v>
      </c>
      <c r="I75">
        <v>3</v>
      </c>
      <c r="J75" t="s">
        <v>22</v>
      </c>
      <c r="K75" s="8" t="s">
        <v>15</v>
      </c>
      <c r="L75" t="str">
        <f>IF(Table1[[#This Row],[Age]]&lt;25,"Under 25",IF(Table1[[#This Row],[Age]]&lt;35,"25-34",IF(Table1[[#This Row],[Age]]&lt;45,"35-44",IF(Table1[[#This Row],[Age]]&lt;55,"45-54","55+"))))</f>
        <v>55+</v>
      </c>
    </row>
    <row r="76" spans="1:12" x14ac:dyDescent="0.3">
      <c r="A76" s="8" t="s">
        <v>99</v>
      </c>
      <c r="B76" s="6">
        <v>37</v>
      </c>
      <c r="C76" s="8" t="s">
        <v>17</v>
      </c>
      <c r="D76" s="6">
        <v>31</v>
      </c>
      <c r="E76" s="2">
        <v>2990.63</v>
      </c>
      <c r="F76" s="2">
        <v>88219.01</v>
      </c>
      <c r="G76" s="8" t="s">
        <v>20</v>
      </c>
      <c r="H76" t="s">
        <v>25</v>
      </c>
      <c r="I76">
        <v>5</v>
      </c>
      <c r="J76" t="s">
        <v>22</v>
      </c>
      <c r="K76" s="8" t="s">
        <v>15</v>
      </c>
      <c r="L76" t="str">
        <f>IF(Table1[[#This Row],[Age]]&lt;25,"Under 25",IF(Table1[[#This Row],[Age]]&lt;35,"25-34",IF(Table1[[#This Row],[Age]]&lt;45,"35-44",IF(Table1[[#This Row],[Age]]&lt;55,"45-54","55+"))))</f>
        <v>35-44</v>
      </c>
    </row>
    <row r="77" spans="1:12" x14ac:dyDescent="0.3">
      <c r="A77" s="8" t="s">
        <v>100</v>
      </c>
      <c r="B77" s="6">
        <v>35</v>
      </c>
      <c r="C77" s="8" t="s">
        <v>17</v>
      </c>
      <c r="D77" s="6">
        <v>17</v>
      </c>
      <c r="E77" s="2">
        <v>1537.42</v>
      </c>
      <c r="F77" s="2">
        <v>26350.26</v>
      </c>
      <c r="G77" s="8" t="s">
        <v>13</v>
      </c>
      <c r="H77" t="s">
        <v>25</v>
      </c>
      <c r="I77">
        <v>2</v>
      </c>
      <c r="J77" t="s">
        <v>18</v>
      </c>
      <c r="K77" s="8" t="s">
        <v>23</v>
      </c>
      <c r="L77" t="str">
        <f>IF(Table1[[#This Row],[Age]]&lt;25,"Under 25",IF(Table1[[#This Row],[Age]]&lt;35,"25-34",IF(Table1[[#This Row],[Age]]&lt;45,"35-44",IF(Table1[[#This Row],[Age]]&lt;55,"45-54","55+"))))</f>
        <v>35-44</v>
      </c>
    </row>
    <row r="78" spans="1:12" x14ac:dyDescent="0.3">
      <c r="A78" s="8" t="s">
        <v>101</v>
      </c>
      <c r="B78" s="6">
        <v>48</v>
      </c>
      <c r="C78" s="8" t="s">
        <v>17</v>
      </c>
      <c r="D78" s="6">
        <v>47</v>
      </c>
      <c r="E78" s="2">
        <v>3153.14</v>
      </c>
      <c r="F78" s="2">
        <v>150276.97</v>
      </c>
      <c r="G78" s="8" t="s">
        <v>35</v>
      </c>
      <c r="H78" t="s">
        <v>14</v>
      </c>
      <c r="I78">
        <v>3</v>
      </c>
      <c r="J78" t="s">
        <v>22</v>
      </c>
      <c r="K78" s="8" t="s">
        <v>15</v>
      </c>
      <c r="L78" t="str">
        <f>IF(Table1[[#This Row],[Age]]&lt;25,"Under 25",IF(Table1[[#This Row],[Age]]&lt;35,"25-34",IF(Table1[[#This Row],[Age]]&lt;45,"35-44",IF(Table1[[#This Row],[Age]]&lt;55,"45-54","55+"))))</f>
        <v>45-54</v>
      </c>
    </row>
    <row r="79" spans="1:12" x14ac:dyDescent="0.3">
      <c r="A79" s="8" t="s">
        <v>102</v>
      </c>
      <c r="B79" s="6">
        <v>29</v>
      </c>
      <c r="C79" s="8" t="s">
        <v>17</v>
      </c>
      <c r="D79" s="6">
        <v>1</v>
      </c>
      <c r="E79" s="2">
        <v>3686.08</v>
      </c>
      <c r="F79" s="2">
        <v>3387.46</v>
      </c>
      <c r="G79" s="8" t="s">
        <v>13</v>
      </c>
      <c r="H79" t="s">
        <v>14</v>
      </c>
      <c r="I79">
        <v>8</v>
      </c>
      <c r="J79" t="s">
        <v>22</v>
      </c>
      <c r="K79" s="8" t="s">
        <v>15</v>
      </c>
      <c r="L79" t="str">
        <f>IF(Table1[[#This Row],[Age]]&lt;25,"Under 25",IF(Table1[[#This Row],[Age]]&lt;35,"25-34",IF(Table1[[#This Row],[Age]]&lt;45,"35-44",IF(Table1[[#This Row],[Age]]&lt;55,"45-54","55+"))))</f>
        <v>25-34</v>
      </c>
    </row>
    <row r="80" spans="1:12" x14ac:dyDescent="0.3">
      <c r="A80" s="8" t="s">
        <v>103</v>
      </c>
      <c r="B80" s="6">
        <v>26</v>
      </c>
      <c r="C80" s="8" t="s">
        <v>17</v>
      </c>
      <c r="D80" s="6">
        <v>7</v>
      </c>
      <c r="E80" s="2">
        <v>4427.24</v>
      </c>
      <c r="F80" s="2">
        <v>30560.21</v>
      </c>
      <c r="G80" s="8" t="s">
        <v>13</v>
      </c>
      <c r="H80" t="s">
        <v>46</v>
      </c>
      <c r="I80">
        <v>5</v>
      </c>
      <c r="J80" t="s">
        <v>18</v>
      </c>
      <c r="K80" s="8" t="s">
        <v>15</v>
      </c>
      <c r="L80" t="str">
        <f>IF(Table1[[#This Row],[Age]]&lt;25,"Under 25",IF(Table1[[#This Row],[Age]]&lt;35,"25-34",IF(Table1[[#This Row],[Age]]&lt;45,"35-44",IF(Table1[[#This Row],[Age]]&lt;55,"45-54","55+"))))</f>
        <v>25-34</v>
      </c>
    </row>
    <row r="81" spans="1:12" x14ac:dyDescent="0.3">
      <c r="A81" s="8" t="s">
        <v>104</v>
      </c>
      <c r="B81" s="6">
        <v>34</v>
      </c>
      <c r="C81" s="8" t="s">
        <v>17</v>
      </c>
      <c r="D81" s="6">
        <v>8</v>
      </c>
      <c r="E81" s="2">
        <v>4199.5200000000004</v>
      </c>
      <c r="F81" s="2">
        <v>32255.88</v>
      </c>
      <c r="G81" s="8" t="s">
        <v>13</v>
      </c>
      <c r="H81" t="s">
        <v>14</v>
      </c>
      <c r="I81">
        <v>2</v>
      </c>
      <c r="J81" t="s">
        <v>18</v>
      </c>
      <c r="K81" s="8" t="s">
        <v>15</v>
      </c>
      <c r="L81" t="str">
        <f>IF(Table1[[#This Row],[Age]]&lt;25,"Under 25",IF(Table1[[#This Row],[Age]]&lt;35,"25-34",IF(Table1[[#This Row],[Age]]&lt;45,"35-44",IF(Table1[[#This Row],[Age]]&lt;55,"45-54","55+"))))</f>
        <v>25-34</v>
      </c>
    </row>
    <row r="82" spans="1:12" x14ac:dyDescent="0.3">
      <c r="A82" s="8" t="s">
        <v>105</v>
      </c>
      <c r="B82" s="6">
        <v>37</v>
      </c>
      <c r="C82" s="8" t="s">
        <v>12</v>
      </c>
      <c r="D82" s="6">
        <v>16</v>
      </c>
      <c r="E82" s="2">
        <v>1033.03</v>
      </c>
      <c r="F82" s="2">
        <v>16770.900000000001</v>
      </c>
      <c r="G82" s="8" t="s">
        <v>35</v>
      </c>
      <c r="H82" t="s">
        <v>25</v>
      </c>
      <c r="I82">
        <v>3</v>
      </c>
      <c r="J82" t="s">
        <v>15</v>
      </c>
      <c r="K82" s="8" t="s">
        <v>15</v>
      </c>
      <c r="L82" t="str">
        <f>IF(Table1[[#This Row],[Age]]&lt;25,"Under 25",IF(Table1[[#This Row],[Age]]&lt;35,"25-34",IF(Table1[[#This Row],[Age]]&lt;45,"35-44",IF(Table1[[#This Row],[Age]]&lt;55,"45-54","55+"))))</f>
        <v>35-44</v>
      </c>
    </row>
    <row r="83" spans="1:12" x14ac:dyDescent="0.3">
      <c r="A83" s="8" t="s">
        <v>106</v>
      </c>
      <c r="B83" s="6">
        <v>46</v>
      </c>
      <c r="C83" s="8" t="s">
        <v>17</v>
      </c>
      <c r="D83" s="6">
        <v>56</v>
      </c>
      <c r="E83" s="2">
        <v>3148.36</v>
      </c>
      <c r="F83" s="2">
        <v>170018.27</v>
      </c>
      <c r="G83" s="8" t="s">
        <v>35</v>
      </c>
      <c r="H83" t="s">
        <v>14</v>
      </c>
      <c r="I83">
        <v>9</v>
      </c>
      <c r="J83" t="s">
        <v>15</v>
      </c>
      <c r="K83" s="8" t="s">
        <v>23</v>
      </c>
      <c r="L83" t="str">
        <f>IF(Table1[[#This Row],[Age]]&lt;25,"Under 25",IF(Table1[[#This Row],[Age]]&lt;35,"25-34",IF(Table1[[#This Row],[Age]]&lt;45,"35-44",IF(Table1[[#This Row],[Age]]&lt;55,"45-54","55+"))))</f>
        <v>45-54</v>
      </c>
    </row>
    <row r="84" spans="1:12" x14ac:dyDescent="0.3">
      <c r="A84" s="8" t="s">
        <v>107</v>
      </c>
      <c r="B84" s="6">
        <v>31</v>
      </c>
      <c r="C84" s="8" t="s">
        <v>12</v>
      </c>
      <c r="D84" s="6">
        <v>17</v>
      </c>
      <c r="E84" s="2">
        <v>3471.93</v>
      </c>
      <c r="F84" s="2">
        <v>54511.02</v>
      </c>
      <c r="G84" s="8" t="s">
        <v>13</v>
      </c>
      <c r="H84" t="s">
        <v>14</v>
      </c>
      <c r="I84">
        <v>2</v>
      </c>
      <c r="J84" t="s">
        <v>18</v>
      </c>
      <c r="K84" s="8" t="s">
        <v>23</v>
      </c>
      <c r="L84" t="str">
        <f>IF(Table1[[#This Row],[Age]]&lt;25,"Under 25",IF(Table1[[#This Row],[Age]]&lt;35,"25-34",IF(Table1[[#This Row],[Age]]&lt;45,"35-44",IF(Table1[[#This Row],[Age]]&lt;55,"45-54","55+"))))</f>
        <v>25-34</v>
      </c>
    </row>
    <row r="85" spans="1:12" x14ac:dyDescent="0.3">
      <c r="A85" s="8" t="s">
        <v>108</v>
      </c>
      <c r="B85" s="6">
        <v>62</v>
      </c>
      <c r="C85" s="8" t="s">
        <v>17</v>
      </c>
      <c r="D85" s="6">
        <v>19</v>
      </c>
      <c r="E85" s="2">
        <v>646.88</v>
      </c>
      <c r="F85" s="2">
        <v>11592.8</v>
      </c>
      <c r="G85" s="8" t="s">
        <v>13</v>
      </c>
      <c r="H85" t="s">
        <v>46</v>
      </c>
      <c r="I85">
        <v>1</v>
      </c>
      <c r="J85" t="s">
        <v>15</v>
      </c>
      <c r="K85" s="8" t="s">
        <v>23</v>
      </c>
      <c r="L85" t="str">
        <f>IF(Table1[[#This Row],[Age]]&lt;25,"Under 25",IF(Table1[[#This Row],[Age]]&lt;35,"25-34",IF(Table1[[#This Row],[Age]]&lt;45,"35-44",IF(Table1[[#This Row],[Age]]&lt;55,"45-54","55+"))))</f>
        <v>55+</v>
      </c>
    </row>
    <row r="86" spans="1:12" x14ac:dyDescent="0.3">
      <c r="A86" s="8" t="s">
        <v>109</v>
      </c>
      <c r="B86" s="6">
        <v>34</v>
      </c>
      <c r="C86" s="8" t="s">
        <v>12</v>
      </c>
      <c r="D86" s="6">
        <v>28</v>
      </c>
      <c r="E86" s="2">
        <v>1016.49</v>
      </c>
      <c r="F86" s="2">
        <v>26575.32</v>
      </c>
      <c r="G86" s="8" t="s">
        <v>13</v>
      </c>
      <c r="H86" t="s">
        <v>37</v>
      </c>
      <c r="I86">
        <v>2</v>
      </c>
      <c r="J86" t="s">
        <v>18</v>
      </c>
      <c r="K86" s="8" t="s">
        <v>23</v>
      </c>
      <c r="L86" t="str">
        <f>IF(Table1[[#This Row],[Age]]&lt;25,"Under 25",IF(Table1[[#This Row],[Age]]&lt;35,"25-34",IF(Table1[[#This Row],[Age]]&lt;45,"35-44",IF(Table1[[#This Row],[Age]]&lt;55,"45-54","55+"))))</f>
        <v>25-34</v>
      </c>
    </row>
    <row r="87" spans="1:12" x14ac:dyDescent="0.3">
      <c r="A87" s="8" t="s">
        <v>110</v>
      </c>
      <c r="B87" s="6">
        <v>37</v>
      </c>
      <c r="C87" s="8" t="s">
        <v>17</v>
      </c>
      <c r="D87" s="6">
        <v>29</v>
      </c>
      <c r="E87" s="2">
        <v>1059.5899999999999</v>
      </c>
      <c r="F87" s="2">
        <v>30829.56</v>
      </c>
      <c r="G87" s="8" t="s">
        <v>35</v>
      </c>
      <c r="H87" t="s">
        <v>37</v>
      </c>
      <c r="I87">
        <v>8</v>
      </c>
      <c r="J87" t="s">
        <v>15</v>
      </c>
      <c r="K87" s="8" t="s">
        <v>15</v>
      </c>
      <c r="L87" t="str">
        <f>IF(Table1[[#This Row],[Age]]&lt;25,"Under 25",IF(Table1[[#This Row],[Age]]&lt;35,"25-34",IF(Table1[[#This Row],[Age]]&lt;45,"35-44",IF(Table1[[#This Row],[Age]]&lt;55,"45-54","55+"))))</f>
        <v>35-44</v>
      </c>
    </row>
    <row r="88" spans="1:12" x14ac:dyDescent="0.3">
      <c r="A88" s="8" t="s">
        <v>111</v>
      </c>
      <c r="B88" s="6">
        <v>23</v>
      </c>
      <c r="C88" s="8" t="s">
        <v>12</v>
      </c>
      <c r="D88" s="6">
        <v>57</v>
      </c>
      <c r="E88" s="2">
        <v>2444.13</v>
      </c>
      <c r="F88" s="2">
        <v>132119.51999999999</v>
      </c>
      <c r="G88" s="8" t="s">
        <v>13</v>
      </c>
      <c r="H88" t="s">
        <v>14</v>
      </c>
      <c r="I88">
        <v>3</v>
      </c>
      <c r="J88" t="s">
        <v>15</v>
      </c>
      <c r="K88" s="8" t="s">
        <v>15</v>
      </c>
      <c r="L88" t="str">
        <f>IF(Table1[[#This Row],[Age]]&lt;25,"Under 25",IF(Table1[[#This Row],[Age]]&lt;35,"25-34",IF(Table1[[#This Row],[Age]]&lt;45,"35-44",IF(Table1[[#This Row],[Age]]&lt;55,"45-54","55+"))))</f>
        <v>Under 25</v>
      </c>
    </row>
    <row r="89" spans="1:12" x14ac:dyDescent="0.3">
      <c r="A89" s="8" t="s">
        <v>112</v>
      </c>
      <c r="B89" s="6">
        <v>54</v>
      </c>
      <c r="C89" s="8" t="s">
        <v>12</v>
      </c>
      <c r="D89" s="6">
        <v>49</v>
      </c>
      <c r="E89" s="2">
        <v>3525.27</v>
      </c>
      <c r="F89" s="2">
        <v>162447.64000000001</v>
      </c>
      <c r="G89" s="8" t="s">
        <v>13</v>
      </c>
      <c r="H89" t="s">
        <v>21</v>
      </c>
      <c r="I89">
        <v>7</v>
      </c>
      <c r="J89" t="s">
        <v>15</v>
      </c>
      <c r="K89" s="8" t="s">
        <v>15</v>
      </c>
      <c r="L89" t="str">
        <f>IF(Table1[[#This Row],[Age]]&lt;25,"Under 25",IF(Table1[[#This Row],[Age]]&lt;35,"25-34",IF(Table1[[#This Row],[Age]]&lt;45,"35-44",IF(Table1[[#This Row],[Age]]&lt;55,"45-54","55+"))))</f>
        <v>45-54</v>
      </c>
    </row>
    <row r="90" spans="1:12" x14ac:dyDescent="0.3">
      <c r="A90" s="8" t="s">
        <v>113</v>
      </c>
      <c r="B90" s="6">
        <v>35</v>
      </c>
      <c r="C90" s="8" t="s">
        <v>12</v>
      </c>
      <c r="D90" s="6">
        <v>38</v>
      </c>
      <c r="E90" s="2">
        <v>2461.48</v>
      </c>
      <c r="F90" s="2">
        <v>95606.83</v>
      </c>
      <c r="G90" s="8" t="s">
        <v>20</v>
      </c>
      <c r="H90" t="s">
        <v>46</v>
      </c>
      <c r="I90">
        <v>5</v>
      </c>
      <c r="J90" t="s">
        <v>22</v>
      </c>
      <c r="K90" s="8" t="s">
        <v>15</v>
      </c>
      <c r="L90" t="str">
        <f>IF(Table1[[#This Row],[Age]]&lt;25,"Under 25",IF(Table1[[#This Row],[Age]]&lt;35,"25-34",IF(Table1[[#This Row],[Age]]&lt;45,"35-44",IF(Table1[[#This Row],[Age]]&lt;55,"45-54","55+"))))</f>
        <v>35-44</v>
      </c>
    </row>
    <row r="91" spans="1:12" x14ac:dyDescent="0.3">
      <c r="A91" s="8" t="s">
        <v>114</v>
      </c>
      <c r="B91" s="6">
        <v>60</v>
      </c>
      <c r="C91" s="8" t="s">
        <v>12</v>
      </c>
      <c r="D91" s="6">
        <v>55</v>
      </c>
      <c r="E91" s="2">
        <v>1223.71</v>
      </c>
      <c r="F91" s="2">
        <v>64729.45</v>
      </c>
      <c r="G91" s="8" t="s">
        <v>13</v>
      </c>
      <c r="H91" t="s">
        <v>46</v>
      </c>
      <c r="I91">
        <v>8</v>
      </c>
      <c r="J91" t="s">
        <v>18</v>
      </c>
      <c r="K91" s="8" t="s">
        <v>23</v>
      </c>
      <c r="L91" t="str">
        <f>IF(Table1[[#This Row],[Age]]&lt;25,"Under 25",IF(Table1[[#This Row],[Age]]&lt;35,"25-34",IF(Table1[[#This Row],[Age]]&lt;45,"35-44",IF(Table1[[#This Row],[Age]]&lt;55,"45-54","55+"))))</f>
        <v>55+</v>
      </c>
    </row>
    <row r="92" spans="1:12" x14ac:dyDescent="0.3">
      <c r="A92" s="8" t="s">
        <v>115</v>
      </c>
      <c r="B92" s="6">
        <v>38</v>
      </c>
      <c r="C92" s="8" t="s">
        <v>17</v>
      </c>
      <c r="D92" s="6">
        <v>21</v>
      </c>
      <c r="E92" s="2">
        <v>1021.65</v>
      </c>
      <c r="F92" s="2">
        <v>21795.4</v>
      </c>
      <c r="G92" s="8" t="s">
        <v>20</v>
      </c>
      <c r="H92" t="s">
        <v>14</v>
      </c>
      <c r="I92">
        <v>10</v>
      </c>
      <c r="J92" t="s">
        <v>15</v>
      </c>
      <c r="K92" s="8" t="s">
        <v>15</v>
      </c>
      <c r="L92" t="str">
        <f>IF(Table1[[#This Row],[Age]]&lt;25,"Under 25",IF(Table1[[#This Row],[Age]]&lt;35,"25-34",IF(Table1[[#This Row],[Age]]&lt;45,"35-44",IF(Table1[[#This Row],[Age]]&lt;55,"45-54","55+"))))</f>
        <v>35-44</v>
      </c>
    </row>
    <row r="93" spans="1:12" x14ac:dyDescent="0.3">
      <c r="A93" s="8" t="s">
        <v>116</v>
      </c>
      <c r="B93" s="6">
        <v>21</v>
      </c>
      <c r="C93" s="8" t="s">
        <v>12</v>
      </c>
      <c r="D93" s="6">
        <v>34</v>
      </c>
      <c r="E93" s="2">
        <v>2128.0100000000002</v>
      </c>
      <c r="F93" s="2">
        <v>73326.67</v>
      </c>
      <c r="G93" s="8" t="s">
        <v>35</v>
      </c>
      <c r="H93" t="s">
        <v>14</v>
      </c>
      <c r="I93">
        <v>3</v>
      </c>
      <c r="J93" t="s">
        <v>22</v>
      </c>
      <c r="K93" s="8" t="s">
        <v>15</v>
      </c>
      <c r="L93" t="str">
        <f>IF(Table1[[#This Row],[Age]]&lt;25,"Under 25",IF(Table1[[#This Row],[Age]]&lt;35,"25-34",IF(Table1[[#This Row],[Age]]&lt;45,"35-44",IF(Table1[[#This Row],[Age]]&lt;55,"45-54","55+"))))</f>
        <v>Under 25</v>
      </c>
    </row>
    <row r="94" spans="1:12" x14ac:dyDescent="0.3">
      <c r="A94" s="8" t="s">
        <v>117</v>
      </c>
      <c r="B94" s="6">
        <v>36</v>
      </c>
      <c r="C94" s="8" t="s">
        <v>17</v>
      </c>
      <c r="D94" s="6">
        <v>57</v>
      </c>
      <c r="E94" s="2">
        <v>3642.13</v>
      </c>
      <c r="F94" s="2">
        <v>190622.5</v>
      </c>
      <c r="G94" s="8" t="s">
        <v>20</v>
      </c>
      <c r="H94" t="s">
        <v>25</v>
      </c>
      <c r="I94">
        <v>3</v>
      </c>
      <c r="J94" t="s">
        <v>15</v>
      </c>
      <c r="K94" s="8" t="s">
        <v>23</v>
      </c>
      <c r="L94" t="str">
        <f>IF(Table1[[#This Row],[Age]]&lt;25,"Under 25",IF(Table1[[#This Row],[Age]]&lt;35,"25-34",IF(Table1[[#This Row],[Age]]&lt;45,"35-44",IF(Table1[[#This Row],[Age]]&lt;55,"45-54","55+"))))</f>
        <v>35-44</v>
      </c>
    </row>
    <row r="95" spans="1:12" x14ac:dyDescent="0.3">
      <c r="A95" s="8" t="s">
        <v>118</v>
      </c>
      <c r="B95" s="6">
        <v>53</v>
      </c>
      <c r="C95" s="8" t="s">
        <v>12</v>
      </c>
      <c r="D95" s="6">
        <v>36</v>
      </c>
      <c r="E95" s="2">
        <v>2335.96</v>
      </c>
      <c r="F95" s="2">
        <v>78519.520000000004</v>
      </c>
      <c r="G95" s="8" t="s">
        <v>20</v>
      </c>
      <c r="H95" t="s">
        <v>14</v>
      </c>
      <c r="I95">
        <v>7</v>
      </c>
      <c r="J95" t="s">
        <v>18</v>
      </c>
      <c r="K95" s="8" t="s">
        <v>15</v>
      </c>
      <c r="L95" t="str">
        <f>IF(Table1[[#This Row],[Age]]&lt;25,"Under 25",IF(Table1[[#This Row],[Age]]&lt;35,"25-34",IF(Table1[[#This Row],[Age]]&lt;45,"35-44",IF(Table1[[#This Row],[Age]]&lt;55,"45-54","55+"))))</f>
        <v>45-54</v>
      </c>
    </row>
    <row r="96" spans="1:12" x14ac:dyDescent="0.3">
      <c r="A96" s="8" t="s">
        <v>119</v>
      </c>
      <c r="B96" s="6">
        <v>27</v>
      </c>
      <c r="C96" s="8" t="s">
        <v>17</v>
      </c>
      <c r="D96" s="6">
        <v>60</v>
      </c>
      <c r="E96" s="2">
        <v>3724.71</v>
      </c>
      <c r="F96" s="2">
        <v>218192.95</v>
      </c>
      <c r="G96" s="8" t="s">
        <v>13</v>
      </c>
      <c r="H96" t="s">
        <v>46</v>
      </c>
      <c r="I96">
        <v>7</v>
      </c>
      <c r="J96" t="s">
        <v>18</v>
      </c>
      <c r="K96" s="8" t="s">
        <v>23</v>
      </c>
      <c r="L96" t="str">
        <f>IF(Table1[[#This Row],[Age]]&lt;25,"Under 25",IF(Table1[[#This Row],[Age]]&lt;35,"25-34",IF(Table1[[#This Row],[Age]]&lt;45,"35-44",IF(Table1[[#This Row],[Age]]&lt;55,"45-54","55+"))))</f>
        <v>25-34</v>
      </c>
    </row>
    <row r="97" spans="1:12" x14ac:dyDescent="0.3">
      <c r="A97" s="8" t="s">
        <v>120</v>
      </c>
      <c r="B97" s="6">
        <v>27</v>
      </c>
      <c r="C97" s="8" t="s">
        <v>17</v>
      </c>
      <c r="D97" s="6">
        <v>13</v>
      </c>
      <c r="E97" s="2">
        <v>4648.41</v>
      </c>
      <c r="F97" s="2">
        <v>58993.3</v>
      </c>
      <c r="G97" s="8" t="s">
        <v>20</v>
      </c>
      <c r="H97" t="s">
        <v>14</v>
      </c>
      <c r="I97">
        <v>4</v>
      </c>
      <c r="J97" t="s">
        <v>22</v>
      </c>
      <c r="K97" s="8" t="s">
        <v>23</v>
      </c>
      <c r="L97" t="str">
        <f>IF(Table1[[#This Row],[Age]]&lt;25,"Under 25",IF(Table1[[#This Row],[Age]]&lt;35,"25-34",IF(Table1[[#This Row],[Age]]&lt;45,"35-44",IF(Table1[[#This Row],[Age]]&lt;55,"45-54","55+"))))</f>
        <v>25-34</v>
      </c>
    </row>
    <row r="98" spans="1:12" x14ac:dyDescent="0.3">
      <c r="A98" s="8" t="s">
        <v>121</v>
      </c>
      <c r="B98" s="6">
        <v>50</v>
      </c>
      <c r="C98" s="8" t="s">
        <v>17</v>
      </c>
      <c r="D98" s="6">
        <v>53</v>
      </c>
      <c r="E98" s="2">
        <v>511.54</v>
      </c>
      <c r="F98" s="2">
        <v>27353.119999999999</v>
      </c>
      <c r="G98" s="8" t="s">
        <v>20</v>
      </c>
      <c r="H98" t="s">
        <v>25</v>
      </c>
      <c r="I98">
        <v>10</v>
      </c>
      <c r="J98" t="s">
        <v>22</v>
      </c>
      <c r="K98" s="8" t="s">
        <v>15</v>
      </c>
      <c r="L98" t="str">
        <f>IF(Table1[[#This Row],[Age]]&lt;25,"Under 25",IF(Table1[[#This Row],[Age]]&lt;35,"25-34",IF(Table1[[#This Row],[Age]]&lt;45,"35-44",IF(Table1[[#This Row],[Age]]&lt;55,"45-54","55+"))))</f>
        <v>45-54</v>
      </c>
    </row>
    <row r="99" spans="1:12" x14ac:dyDescent="0.3">
      <c r="A99" s="8" t="s">
        <v>122</v>
      </c>
      <c r="B99" s="6">
        <v>46</v>
      </c>
      <c r="C99" s="8" t="s">
        <v>17</v>
      </c>
      <c r="D99" s="6">
        <v>23</v>
      </c>
      <c r="E99" s="2">
        <v>1995.98</v>
      </c>
      <c r="F99" s="2">
        <v>46570.03</v>
      </c>
      <c r="G99" s="8" t="s">
        <v>13</v>
      </c>
      <c r="H99" t="s">
        <v>37</v>
      </c>
      <c r="I99">
        <v>3</v>
      </c>
      <c r="J99" t="s">
        <v>15</v>
      </c>
      <c r="K99" s="8" t="s">
        <v>23</v>
      </c>
      <c r="L99" t="str">
        <f>IF(Table1[[#This Row],[Age]]&lt;25,"Under 25",IF(Table1[[#This Row],[Age]]&lt;35,"25-34",IF(Table1[[#This Row],[Age]]&lt;45,"35-44",IF(Table1[[#This Row],[Age]]&lt;55,"45-54","55+"))))</f>
        <v>45-54</v>
      </c>
    </row>
    <row r="100" spans="1:12" x14ac:dyDescent="0.3">
      <c r="A100" s="8" t="s">
        <v>123</v>
      </c>
      <c r="B100" s="6">
        <v>42</v>
      </c>
      <c r="C100" s="8" t="s">
        <v>12</v>
      </c>
      <c r="D100" s="6">
        <v>55</v>
      </c>
      <c r="E100" s="2">
        <v>3989.95</v>
      </c>
      <c r="F100" s="2">
        <v>198939.27</v>
      </c>
      <c r="G100" s="8" t="s">
        <v>35</v>
      </c>
      <c r="H100" t="s">
        <v>46</v>
      </c>
      <c r="I100">
        <v>6</v>
      </c>
      <c r="J100" t="s">
        <v>15</v>
      </c>
      <c r="K100" s="8" t="s">
        <v>15</v>
      </c>
      <c r="L100" t="str">
        <f>IF(Table1[[#This Row],[Age]]&lt;25,"Under 25",IF(Table1[[#This Row],[Age]]&lt;35,"25-34",IF(Table1[[#This Row],[Age]]&lt;45,"35-44",IF(Table1[[#This Row],[Age]]&lt;55,"45-54","55+"))))</f>
        <v>35-44</v>
      </c>
    </row>
    <row r="101" spans="1:12" x14ac:dyDescent="0.3">
      <c r="A101" s="8" t="s">
        <v>124</v>
      </c>
      <c r="B101" s="6">
        <v>59</v>
      </c>
      <c r="C101" s="8" t="s">
        <v>12</v>
      </c>
      <c r="D101" s="6">
        <v>32</v>
      </c>
      <c r="E101" s="2">
        <v>4841.71</v>
      </c>
      <c r="F101" s="2">
        <v>142375.24</v>
      </c>
      <c r="G101" s="8" t="s">
        <v>20</v>
      </c>
      <c r="H101" t="s">
        <v>37</v>
      </c>
      <c r="I101">
        <v>1</v>
      </c>
      <c r="J101" t="s">
        <v>22</v>
      </c>
      <c r="K101" s="8" t="s">
        <v>23</v>
      </c>
      <c r="L101" t="str">
        <f>IF(Table1[[#This Row],[Age]]&lt;25,"Under 25",IF(Table1[[#This Row],[Age]]&lt;35,"25-34",IF(Table1[[#This Row],[Age]]&lt;45,"35-44",IF(Table1[[#This Row],[Age]]&lt;55,"45-54","55+"))))</f>
        <v>55+</v>
      </c>
    </row>
    <row r="102" spans="1:12" x14ac:dyDescent="0.3">
      <c r="A102" s="8" t="s">
        <v>125</v>
      </c>
      <c r="B102" s="6">
        <v>47</v>
      </c>
      <c r="C102" s="8" t="s">
        <v>12</v>
      </c>
      <c r="D102" s="6">
        <v>47</v>
      </c>
      <c r="E102" s="2">
        <v>1148.7</v>
      </c>
      <c r="F102" s="2">
        <v>55643.12</v>
      </c>
      <c r="G102" s="8" t="s">
        <v>20</v>
      </c>
      <c r="H102" t="s">
        <v>14</v>
      </c>
      <c r="I102">
        <v>7</v>
      </c>
      <c r="J102" t="s">
        <v>22</v>
      </c>
      <c r="K102" s="8" t="s">
        <v>15</v>
      </c>
      <c r="L102" t="str">
        <f>IF(Table1[[#This Row],[Age]]&lt;25,"Under 25",IF(Table1[[#This Row],[Age]]&lt;35,"25-34",IF(Table1[[#This Row],[Age]]&lt;45,"35-44",IF(Table1[[#This Row],[Age]]&lt;55,"45-54","55+"))))</f>
        <v>45-54</v>
      </c>
    </row>
    <row r="103" spans="1:12" x14ac:dyDescent="0.3">
      <c r="A103" s="8" t="s">
        <v>126</v>
      </c>
      <c r="B103" s="6">
        <v>62</v>
      </c>
      <c r="C103" s="8" t="s">
        <v>17</v>
      </c>
      <c r="D103" s="6">
        <v>42</v>
      </c>
      <c r="E103" s="2">
        <v>861.42</v>
      </c>
      <c r="F103" s="2">
        <v>34344.78</v>
      </c>
      <c r="G103" s="8" t="s">
        <v>35</v>
      </c>
      <c r="H103" t="s">
        <v>25</v>
      </c>
      <c r="I103">
        <v>6</v>
      </c>
      <c r="J103" t="s">
        <v>22</v>
      </c>
      <c r="K103" s="8" t="s">
        <v>15</v>
      </c>
      <c r="L103" t="str">
        <f>IF(Table1[[#This Row],[Age]]&lt;25,"Under 25",IF(Table1[[#This Row],[Age]]&lt;35,"25-34",IF(Table1[[#This Row],[Age]]&lt;45,"35-44",IF(Table1[[#This Row],[Age]]&lt;55,"45-54","55+"))))</f>
        <v>55+</v>
      </c>
    </row>
    <row r="104" spans="1:12" x14ac:dyDescent="0.3">
      <c r="A104" s="8" t="s">
        <v>127</v>
      </c>
      <c r="B104" s="6">
        <v>49</v>
      </c>
      <c r="C104" s="8" t="s">
        <v>12</v>
      </c>
      <c r="D104" s="6">
        <v>40</v>
      </c>
      <c r="E104" s="2">
        <v>807.89</v>
      </c>
      <c r="F104" s="2">
        <v>32143.49</v>
      </c>
      <c r="G104" s="8" t="s">
        <v>20</v>
      </c>
      <c r="H104" t="s">
        <v>21</v>
      </c>
      <c r="I104">
        <v>1</v>
      </c>
      <c r="J104" t="s">
        <v>22</v>
      </c>
      <c r="K104" s="8" t="s">
        <v>15</v>
      </c>
      <c r="L104" t="str">
        <f>IF(Table1[[#This Row],[Age]]&lt;25,"Under 25",IF(Table1[[#This Row],[Age]]&lt;35,"25-34",IF(Table1[[#This Row],[Age]]&lt;45,"35-44",IF(Table1[[#This Row],[Age]]&lt;55,"45-54","55+"))))</f>
        <v>45-54</v>
      </c>
    </row>
    <row r="105" spans="1:12" x14ac:dyDescent="0.3">
      <c r="A105" s="8" t="s">
        <v>128</v>
      </c>
      <c r="B105" s="6">
        <v>58</v>
      </c>
      <c r="C105" s="8" t="s">
        <v>12</v>
      </c>
      <c r="D105" s="6">
        <v>29</v>
      </c>
      <c r="E105" s="2">
        <v>1248.6400000000001</v>
      </c>
      <c r="F105" s="2">
        <v>34216.080000000002</v>
      </c>
      <c r="G105" s="8" t="s">
        <v>13</v>
      </c>
      <c r="H105" t="s">
        <v>37</v>
      </c>
      <c r="I105">
        <v>0</v>
      </c>
      <c r="J105" t="s">
        <v>22</v>
      </c>
      <c r="K105" s="8" t="s">
        <v>15</v>
      </c>
      <c r="L105" t="str">
        <f>IF(Table1[[#This Row],[Age]]&lt;25,"Under 25",IF(Table1[[#This Row],[Age]]&lt;35,"25-34",IF(Table1[[#This Row],[Age]]&lt;45,"35-44",IF(Table1[[#This Row],[Age]]&lt;55,"45-54","55+"))))</f>
        <v>55+</v>
      </c>
    </row>
    <row r="106" spans="1:12" x14ac:dyDescent="0.3">
      <c r="A106" s="8" t="s">
        <v>129</v>
      </c>
      <c r="B106" s="6">
        <v>45</v>
      </c>
      <c r="C106" s="8" t="s">
        <v>12</v>
      </c>
      <c r="D106" s="6">
        <v>16</v>
      </c>
      <c r="E106" s="2">
        <v>2890.25</v>
      </c>
      <c r="F106" s="2">
        <v>45545.22</v>
      </c>
      <c r="G106" s="8" t="s">
        <v>35</v>
      </c>
      <c r="H106" t="s">
        <v>21</v>
      </c>
      <c r="I106">
        <v>2</v>
      </c>
      <c r="J106" t="s">
        <v>18</v>
      </c>
      <c r="K106" s="8" t="s">
        <v>15</v>
      </c>
      <c r="L106" t="str">
        <f>IF(Table1[[#This Row],[Age]]&lt;25,"Under 25",IF(Table1[[#This Row],[Age]]&lt;35,"25-34",IF(Table1[[#This Row],[Age]]&lt;45,"35-44",IF(Table1[[#This Row],[Age]]&lt;55,"45-54","55+"))))</f>
        <v>45-54</v>
      </c>
    </row>
    <row r="107" spans="1:12" x14ac:dyDescent="0.3">
      <c r="A107" s="8" t="s">
        <v>130</v>
      </c>
      <c r="B107" s="6">
        <v>42</v>
      </c>
      <c r="C107" s="8" t="s">
        <v>12</v>
      </c>
      <c r="D107" s="6">
        <v>32</v>
      </c>
      <c r="E107" s="2">
        <v>4607.7299999999996</v>
      </c>
      <c r="F107" s="2">
        <v>135867.97</v>
      </c>
      <c r="G107" s="8" t="s">
        <v>13</v>
      </c>
      <c r="H107" t="s">
        <v>37</v>
      </c>
      <c r="I107">
        <v>7</v>
      </c>
      <c r="J107" t="s">
        <v>22</v>
      </c>
      <c r="K107" s="8" t="s">
        <v>15</v>
      </c>
      <c r="L107" t="str">
        <f>IF(Table1[[#This Row],[Age]]&lt;25,"Under 25",IF(Table1[[#This Row],[Age]]&lt;35,"25-34",IF(Table1[[#This Row],[Age]]&lt;45,"35-44",IF(Table1[[#This Row],[Age]]&lt;55,"45-54","55+"))))</f>
        <v>35-44</v>
      </c>
    </row>
    <row r="108" spans="1:12" x14ac:dyDescent="0.3">
      <c r="A108" s="8" t="s">
        <v>131</v>
      </c>
      <c r="B108" s="6">
        <v>47</v>
      </c>
      <c r="C108" s="8" t="s">
        <v>17</v>
      </c>
      <c r="D108" s="6">
        <v>44</v>
      </c>
      <c r="E108" s="2">
        <v>2959.69</v>
      </c>
      <c r="F108" s="2">
        <v>118646.54</v>
      </c>
      <c r="G108" s="8" t="s">
        <v>20</v>
      </c>
      <c r="H108" t="s">
        <v>25</v>
      </c>
      <c r="I108">
        <v>4</v>
      </c>
      <c r="J108" t="s">
        <v>15</v>
      </c>
      <c r="K108" s="8" t="s">
        <v>15</v>
      </c>
      <c r="L108" t="str">
        <f>IF(Table1[[#This Row],[Age]]&lt;25,"Under 25",IF(Table1[[#This Row],[Age]]&lt;35,"25-34",IF(Table1[[#This Row],[Age]]&lt;45,"35-44",IF(Table1[[#This Row],[Age]]&lt;55,"45-54","55+"))))</f>
        <v>45-54</v>
      </c>
    </row>
    <row r="109" spans="1:12" x14ac:dyDescent="0.3">
      <c r="A109" s="8" t="s">
        <v>132</v>
      </c>
      <c r="B109" s="6">
        <v>62</v>
      </c>
      <c r="C109" s="8" t="s">
        <v>17</v>
      </c>
      <c r="D109" s="6">
        <v>30</v>
      </c>
      <c r="E109" s="2">
        <v>4303.87</v>
      </c>
      <c r="F109" s="2">
        <v>120062.81</v>
      </c>
      <c r="G109" s="8" t="s">
        <v>13</v>
      </c>
      <c r="H109" t="s">
        <v>46</v>
      </c>
      <c r="I109">
        <v>1</v>
      </c>
      <c r="J109" t="s">
        <v>18</v>
      </c>
      <c r="K109" s="8" t="s">
        <v>23</v>
      </c>
      <c r="L109" t="str">
        <f>IF(Table1[[#This Row],[Age]]&lt;25,"Under 25",IF(Table1[[#This Row],[Age]]&lt;35,"25-34",IF(Table1[[#This Row],[Age]]&lt;45,"35-44",IF(Table1[[#This Row],[Age]]&lt;55,"45-54","55+"))))</f>
        <v>55+</v>
      </c>
    </row>
    <row r="110" spans="1:12" x14ac:dyDescent="0.3">
      <c r="A110" s="8" t="s">
        <v>133</v>
      </c>
      <c r="B110" s="6">
        <v>40</v>
      </c>
      <c r="C110" s="8" t="s">
        <v>17</v>
      </c>
      <c r="D110" s="6">
        <v>45</v>
      </c>
      <c r="E110" s="2">
        <v>1828.54</v>
      </c>
      <c r="F110" s="2">
        <v>86126.29</v>
      </c>
      <c r="G110" s="8" t="s">
        <v>35</v>
      </c>
      <c r="H110" t="s">
        <v>37</v>
      </c>
      <c r="I110">
        <v>0</v>
      </c>
      <c r="J110" t="s">
        <v>15</v>
      </c>
      <c r="K110" s="8" t="s">
        <v>15</v>
      </c>
      <c r="L110" t="str">
        <f>IF(Table1[[#This Row],[Age]]&lt;25,"Under 25",IF(Table1[[#This Row],[Age]]&lt;35,"25-34",IF(Table1[[#This Row],[Age]]&lt;45,"35-44",IF(Table1[[#This Row],[Age]]&lt;55,"45-54","55+"))))</f>
        <v>35-44</v>
      </c>
    </row>
    <row r="111" spans="1:12" x14ac:dyDescent="0.3">
      <c r="A111" s="8" t="s">
        <v>134</v>
      </c>
      <c r="B111" s="6">
        <v>65</v>
      </c>
      <c r="C111" s="8" t="s">
        <v>12</v>
      </c>
      <c r="D111" s="6">
        <v>59</v>
      </c>
      <c r="E111" s="2">
        <v>3228.83</v>
      </c>
      <c r="F111" s="2">
        <v>185644.93</v>
      </c>
      <c r="G111" s="8" t="s">
        <v>20</v>
      </c>
      <c r="H111" t="s">
        <v>37</v>
      </c>
      <c r="I111">
        <v>3</v>
      </c>
      <c r="J111" t="s">
        <v>15</v>
      </c>
      <c r="K111" s="8" t="s">
        <v>15</v>
      </c>
      <c r="L111" t="str">
        <f>IF(Table1[[#This Row],[Age]]&lt;25,"Under 25",IF(Table1[[#This Row],[Age]]&lt;35,"25-34",IF(Table1[[#This Row],[Age]]&lt;45,"35-44",IF(Table1[[#This Row],[Age]]&lt;55,"45-54","55+"))))</f>
        <v>55+</v>
      </c>
    </row>
    <row r="112" spans="1:12" x14ac:dyDescent="0.3">
      <c r="A112" s="8" t="s">
        <v>135</v>
      </c>
      <c r="B112" s="6">
        <v>32</v>
      </c>
      <c r="C112" s="8" t="s">
        <v>12</v>
      </c>
      <c r="D112" s="6">
        <v>40</v>
      </c>
      <c r="E112" s="2">
        <v>1627.82</v>
      </c>
      <c r="F112" s="2">
        <v>65981.179999999993</v>
      </c>
      <c r="G112" s="8" t="s">
        <v>35</v>
      </c>
      <c r="H112" t="s">
        <v>21</v>
      </c>
      <c r="I112">
        <v>10</v>
      </c>
      <c r="J112" t="s">
        <v>18</v>
      </c>
      <c r="K112" s="8" t="s">
        <v>15</v>
      </c>
      <c r="L112" t="str">
        <f>IF(Table1[[#This Row],[Age]]&lt;25,"Under 25",IF(Table1[[#This Row],[Age]]&lt;35,"25-34",IF(Table1[[#This Row],[Age]]&lt;45,"35-44",IF(Table1[[#This Row],[Age]]&lt;55,"45-54","55+"))))</f>
        <v>25-34</v>
      </c>
    </row>
    <row r="113" spans="1:12" x14ac:dyDescent="0.3">
      <c r="A113" s="8" t="s">
        <v>136</v>
      </c>
      <c r="B113" s="6">
        <v>59</v>
      </c>
      <c r="C113" s="8" t="s">
        <v>12</v>
      </c>
      <c r="D113" s="6">
        <v>20</v>
      </c>
      <c r="E113" s="2">
        <v>4048.75</v>
      </c>
      <c r="F113" s="2">
        <v>73282.75</v>
      </c>
      <c r="G113" s="8" t="s">
        <v>13</v>
      </c>
      <c r="H113" t="s">
        <v>21</v>
      </c>
      <c r="I113">
        <v>1</v>
      </c>
      <c r="J113" t="s">
        <v>22</v>
      </c>
      <c r="K113" s="8" t="s">
        <v>23</v>
      </c>
      <c r="L113" t="str">
        <f>IF(Table1[[#This Row],[Age]]&lt;25,"Under 25",IF(Table1[[#This Row],[Age]]&lt;35,"25-34",IF(Table1[[#This Row],[Age]]&lt;45,"35-44",IF(Table1[[#This Row],[Age]]&lt;55,"45-54","55+"))))</f>
        <v>55+</v>
      </c>
    </row>
    <row r="114" spans="1:12" x14ac:dyDescent="0.3">
      <c r="A114" s="8" t="s">
        <v>137</v>
      </c>
      <c r="B114" s="6">
        <v>44</v>
      </c>
      <c r="C114" s="8" t="s">
        <v>12</v>
      </c>
      <c r="D114" s="6">
        <v>13</v>
      </c>
      <c r="E114" s="2">
        <v>1094.72</v>
      </c>
      <c r="F114" s="2">
        <v>13959.7</v>
      </c>
      <c r="G114" s="8" t="s">
        <v>20</v>
      </c>
      <c r="H114" t="s">
        <v>25</v>
      </c>
      <c r="I114">
        <v>8</v>
      </c>
      <c r="J114" t="s">
        <v>22</v>
      </c>
      <c r="K114" s="8" t="s">
        <v>15</v>
      </c>
      <c r="L114" t="str">
        <f>IF(Table1[[#This Row],[Age]]&lt;25,"Under 25",IF(Table1[[#This Row],[Age]]&lt;35,"25-34",IF(Table1[[#This Row],[Age]]&lt;45,"35-44",IF(Table1[[#This Row],[Age]]&lt;55,"45-54","55+"))))</f>
        <v>35-44</v>
      </c>
    </row>
    <row r="115" spans="1:12" x14ac:dyDescent="0.3">
      <c r="A115" s="8" t="s">
        <v>138</v>
      </c>
      <c r="B115" s="6">
        <v>34</v>
      </c>
      <c r="C115" s="8" t="s">
        <v>17</v>
      </c>
      <c r="D115" s="6">
        <v>52</v>
      </c>
      <c r="E115" s="2">
        <v>1828.14</v>
      </c>
      <c r="F115" s="2">
        <v>97968.37</v>
      </c>
      <c r="G115" s="8" t="s">
        <v>20</v>
      </c>
      <c r="H115" t="s">
        <v>46</v>
      </c>
      <c r="I115">
        <v>1</v>
      </c>
      <c r="J115" t="s">
        <v>18</v>
      </c>
      <c r="K115" s="8" t="s">
        <v>15</v>
      </c>
      <c r="L115" t="str">
        <f>IF(Table1[[#This Row],[Age]]&lt;25,"Under 25",IF(Table1[[#This Row],[Age]]&lt;35,"25-34",IF(Table1[[#This Row],[Age]]&lt;45,"35-44",IF(Table1[[#This Row],[Age]]&lt;55,"45-54","55+"))))</f>
        <v>25-34</v>
      </c>
    </row>
    <row r="116" spans="1:12" x14ac:dyDescent="0.3">
      <c r="A116" s="8" t="s">
        <v>139</v>
      </c>
      <c r="B116" s="6">
        <v>32</v>
      </c>
      <c r="C116" s="8" t="s">
        <v>17</v>
      </c>
      <c r="D116" s="6">
        <v>55</v>
      </c>
      <c r="E116" s="2">
        <v>4120.6400000000003</v>
      </c>
      <c r="F116" s="2">
        <v>216406.31</v>
      </c>
      <c r="G116" s="8" t="s">
        <v>35</v>
      </c>
      <c r="H116" t="s">
        <v>14</v>
      </c>
      <c r="I116">
        <v>4</v>
      </c>
      <c r="J116" t="s">
        <v>15</v>
      </c>
      <c r="K116" s="8" t="s">
        <v>23</v>
      </c>
      <c r="L116" t="str">
        <f>IF(Table1[[#This Row],[Age]]&lt;25,"Under 25",IF(Table1[[#This Row],[Age]]&lt;35,"25-34",IF(Table1[[#This Row],[Age]]&lt;45,"35-44",IF(Table1[[#This Row],[Age]]&lt;55,"45-54","55+"))))</f>
        <v>25-34</v>
      </c>
    </row>
    <row r="117" spans="1:12" x14ac:dyDescent="0.3">
      <c r="A117" s="8" t="s">
        <v>140</v>
      </c>
      <c r="B117" s="6">
        <v>41</v>
      </c>
      <c r="C117" s="8" t="s">
        <v>17</v>
      </c>
      <c r="D117" s="6">
        <v>38</v>
      </c>
      <c r="E117" s="2">
        <v>2214.61</v>
      </c>
      <c r="F117" s="2">
        <v>83800.25</v>
      </c>
      <c r="G117" s="8" t="s">
        <v>13</v>
      </c>
      <c r="H117" t="s">
        <v>21</v>
      </c>
      <c r="I117">
        <v>7</v>
      </c>
      <c r="J117" t="s">
        <v>18</v>
      </c>
      <c r="K117" s="8" t="s">
        <v>15</v>
      </c>
      <c r="L117" t="str">
        <f>IF(Table1[[#This Row],[Age]]&lt;25,"Under 25",IF(Table1[[#This Row],[Age]]&lt;35,"25-34",IF(Table1[[#This Row],[Age]]&lt;45,"35-44",IF(Table1[[#This Row],[Age]]&lt;55,"45-54","55+"))))</f>
        <v>35-44</v>
      </c>
    </row>
    <row r="118" spans="1:12" x14ac:dyDescent="0.3">
      <c r="A118" s="8" t="s">
        <v>141</v>
      </c>
      <c r="B118" s="6">
        <v>53</v>
      </c>
      <c r="C118" s="8" t="s">
        <v>17</v>
      </c>
      <c r="D118" s="6">
        <v>59</v>
      </c>
      <c r="E118" s="2">
        <v>3245.37</v>
      </c>
      <c r="F118" s="2">
        <v>190930.71</v>
      </c>
      <c r="G118" s="8" t="s">
        <v>35</v>
      </c>
      <c r="H118" t="s">
        <v>46</v>
      </c>
      <c r="I118">
        <v>4</v>
      </c>
      <c r="J118" t="s">
        <v>15</v>
      </c>
      <c r="K118" s="8" t="s">
        <v>15</v>
      </c>
      <c r="L118" t="str">
        <f>IF(Table1[[#This Row],[Age]]&lt;25,"Under 25",IF(Table1[[#This Row],[Age]]&lt;35,"25-34",IF(Table1[[#This Row],[Age]]&lt;45,"35-44",IF(Table1[[#This Row],[Age]]&lt;55,"45-54","55+"))))</f>
        <v>45-54</v>
      </c>
    </row>
    <row r="119" spans="1:12" x14ac:dyDescent="0.3">
      <c r="A119" s="8" t="s">
        <v>142</v>
      </c>
      <c r="B119" s="6">
        <v>26</v>
      </c>
      <c r="C119" s="8" t="s">
        <v>12</v>
      </c>
      <c r="D119" s="6">
        <v>3</v>
      </c>
      <c r="E119" s="2">
        <v>1869.64</v>
      </c>
      <c r="F119" s="2">
        <v>5462.49</v>
      </c>
      <c r="G119" s="8" t="s">
        <v>13</v>
      </c>
      <c r="H119" t="s">
        <v>25</v>
      </c>
      <c r="I119">
        <v>2</v>
      </c>
      <c r="J119" t="s">
        <v>22</v>
      </c>
      <c r="K119" s="8" t="s">
        <v>15</v>
      </c>
      <c r="L119" t="str">
        <f>IF(Table1[[#This Row],[Age]]&lt;25,"Under 25",IF(Table1[[#This Row],[Age]]&lt;35,"25-34",IF(Table1[[#This Row],[Age]]&lt;45,"35-44",IF(Table1[[#This Row],[Age]]&lt;55,"45-54","55+"))))</f>
        <v>25-34</v>
      </c>
    </row>
    <row r="120" spans="1:12" x14ac:dyDescent="0.3">
      <c r="A120" s="8" t="s">
        <v>143</v>
      </c>
      <c r="B120" s="6">
        <v>60</v>
      </c>
      <c r="C120" s="8" t="s">
        <v>17</v>
      </c>
      <c r="D120" s="6">
        <v>38</v>
      </c>
      <c r="E120" s="2">
        <v>3840.21</v>
      </c>
      <c r="F120" s="2">
        <v>134717.56</v>
      </c>
      <c r="G120" s="8" t="s">
        <v>13</v>
      </c>
      <c r="H120" t="s">
        <v>14</v>
      </c>
      <c r="I120">
        <v>7</v>
      </c>
      <c r="J120" t="s">
        <v>15</v>
      </c>
      <c r="K120" s="8" t="s">
        <v>23</v>
      </c>
      <c r="L120" t="str">
        <f>IF(Table1[[#This Row],[Age]]&lt;25,"Under 25",IF(Table1[[#This Row],[Age]]&lt;35,"25-34",IF(Table1[[#This Row],[Age]]&lt;45,"35-44",IF(Table1[[#This Row],[Age]]&lt;55,"45-54","55+"))))</f>
        <v>55+</v>
      </c>
    </row>
    <row r="121" spans="1:12" x14ac:dyDescent="0.3">
      <c r="A121" s="8" t="s">
        <v>144</v>
      </c>
      <c r="B121" s="6">
        <v>35</v>
      </c>
      <c r="C121" s="8" t="s">
        <v>12</v>
      </c>
      <c r="D121" s="6">
        <v>45</v>
      </c>
      <c r="E121" s="2">
        <v>2167.38</v>
      </c>
      <c r="F121" s="2">
        <v>94265.5</v>
      </c>
      <c r="G121" s="8" t="s">
        <v>20</v>
      </c>
      <c r="H121" t="s">
        <v>37</v>
      </c>
      <c r="I121">
        <v>1</v>
      </c>
      <c r="J121" t="s">
        <v>15</v>
      </c>
      <c r="K121" s="8" t="s">
        <v>15</v>
      </c>
      <c r="L121" t="str">
        <f>IF(Table1[[#This Row],[Age]]&lt;25,"Under 25",IF(Table1[[#This Row],[Age]]&lt;35,"25-34",IF(Table1[[#This Row],[Age]]&lt;45,"35-44",IF(Table1[[#This Row],[Age]]&lt;55,"45-54","55+"))))</f>
        <v>35-44</v>
      </c>
    </row>
    <row r="122" spans="1:12" x14ac:dyDescent="0.3">
      <c r="A122" s="8" t="s">
        <v>145</v>
      </c>
      <c r="B122" s="6">
        <v>59</v>
      </c>
      <c r="C122" s="8" t="s">
        <v>17</v>
      </c>
      <c r="D122" s="6">
        <v>4</v>
      </c>
      <c r="E122" s="2">
        <v>2291.63</v>
      </c>
      <c r="F122" s="2">
        <v>8510.85</v>
      </c>
      <c r="G122" s="8" t="s">
        <v>13</v>
      </c>
      <c r="H122" t="s">
        <v>46</v>
      </c>
      <c r="I122">
        <v>1</v>
      </c>
      <c r="J122" t="s">
        <v>15</v>
      </c>
      <c r="K122" s="8" t="s">
        <v>23</v>
      </c>
      <c r="L122" t="str">
        <f>IF(Table1[[#This Row],[Age]]&lt;25,"Under 25",IF(Table1[[#This Row],[Age]]&lt;35,"25-34",IF(Table1[[#This Row],[Age]]&lt;45,"35-44",IF(Table1[[#This Row],[Age]]&lt;55,"45-54","55+"))))</f>
        <v>55+</v>
      </c>
    </row>
    <row r="123" spans="1:12" x14ac:dyDescent="0.3">
      <c r="A123" s="8" t="s">
        <v>146</v>
      </c>
      <c r="B123" s="6">
        <v>58</v>
      </c>
      <c r="C123" s="8" t="s">
        <v>12</v>
      </c>
      <c r="D123" s="6">
        <v>4</v>
      </c>
      <c r="E123" s="2">
        <v>4040.58</v>
      </c>
      <c r="F123" s="2">
        <v>15136.58</v>
      </c>
      <c r="G123" s="8" t="s">
        <v>13</v>
      </c>
      <c r="H123" t="s">
        <v>25</v>
      </c>
      <c r="I123">
        <v>3</v>
      </c>
      <c r="J123" t="s">
        <v>18</v>
      </c>
      <c r="K123" s="8" t="s">
        <v>15</v>
      </c>
      <c r="L123" t="str">
        <f>IF(Table1[[#This Row],[Age]]&lt;25,"Under 25",IF(Table1[[#This Row],[Age]]&lt;35,"25-34",IF(Table1[[#This Row],[Age]]&lt;45,"35-44",IF(Table1[[#This Row],[Age]]&lt;55,"45-54","55+"))))</f>
        <v>55+</v>
      </c>
    </row>
    <row r="124" spans="1:12" x14ac:dyDescent="0.3">
      <c r="A124" s="8" t="s">
        <v>147</v>
      </c>
      <c r="B124" s="6">
        <v>53</v>
      </c>
      <c r="C124" s="8" t="s">
        <v>12</v>
      </c>
      <c r="D124" s="6">
        <v>38</v>
      </c>
      <c r="E124" s="2">
        <v>1471.78</v>
      </c>
      <c r="F124" s="2">
        <v>57630.879999999997</v>
      </c>
      <c r="G124" s="8" t="s">
        <v>13</v>
      </c>
      <c r="H124" t="s">
        <v>21</v>
      </c>
      <c r="I124">
        <v>9</v>
      </c>
      <c r="J124" t="s">
        <v>18</v>
      </c>
      <c r="K124" s="8" t="s">
        <v>23</v>
      </c>
      <c r="L124" t="str">
        <f>IF(Table1[[#This Row],[Age]]&lt;25,"Under 25",IF(Table1[[#This Row],[Age]]&lt;35,"25-34",IF(Table1[[#This Row],[Age]]&lt;45,"35-44",IF(Table1[[#This Row],[Age]]&lt;55,"45-54","55+"))))</f>
        <v>45-54</v>
      </c>
    </row>
    <row r="125" spans="1:12" x14ac:dyDescent="0.3">
      <c r="A125" s="8" t="s">
        <v>148</v>
      </c>
      <c r="B125" s="6">
        <v>27</v>
      </c>
      <c r="C125" s="8" t="s">
        <v>12</v>
      </c>
      <c r="D125" s="6">
        <v>35</v>
      </c>
      <c r="E125" s="2">
        <v>1627.94</v>
      </c>
      <c r="F125" s="2">
        <v>52771.48</v>
      </c>
      <c r="G125" s="8" t="s">
        <v>35</v>
      </c>
      <c r="H125" t="s">
        <v>14</v>
      </c>
      <c r="I125">
        <v>2</v>
      </c>
      <c r="J125" t="s">
        <v>18</v>
      </c>
      <c r="K125" s="8" t="s">
        <v>15</v>
      </c>
      <c r="L125" t="str">
        <f>IF(Table1[[#This Row],[Age]]&lt;25,"Under 25",IF(Table1[[#This Row],[Age]]&lt;35,"25-34",IF(Table1[[#This Row],[Age]]&lt;45,"35-44",IF(Table1[[#This Row],[Age]]&lt;55,"45-54","55+"))))</f>
        <v>25-34</v>
      </c>
    </row>
    <row r="126" spans="1:12" x14ac:dyDescent="0.3">
      <c r="A126" s="8" t="s">
        <v>149</v>
      </c>
      <c r="B126" s="6">
        <v>33</v>
      </c>
      <c r="C126" s="8" t="s">
        <v>17</v>
      </c>
      <c r="D126" s="6">
        <v>2</v>
      </c>
      <c r="E126" s="2">
        <v>1284.1099999999999</v>
      </c>
      <c r="F126" s="2">
        <v>2331.58</v>
      </c>
      <c r="G126" s="8" t="s">
        <v>35</v>
      </c>
      <c r="H126" t="s">
        <v>25</v>
      </c>
      <c r="I126">
        <v>1</v>
      </c>
      <c r="J126" t="s">
        <v>15</v>
      </c>
      <c r="K126" s="8" t="s">
        <v>23</v>
      </c>
      <c r="L126" t="str">
        <f>IF(Table1[[#This Row],[Age]]&lt;25,"Under 25",IF(Table1[[#This Row],[Age]]&lt;35,"25-34",IF(Table1[[#This Row],[Age]]&lt;45,"35-44",IF(Table1[[#This Row],[Age]]&lt;55,"45-54","55+"))))</f>
        <v>25-34</v>
      </c>
    </row>
    <row r="127" spans="1:12" x14ac:dyDescent="0.3">
      <c r="A127" s="8" t="s">
        <v>150</v>
      </c>
      <c r="B127" s="6">
        <v>46</v>
      </c>
      <c r="C127" s="8" t="s">
        <v>17</v>
      </c>
      <c r="D127" s="6">
        <v>33</v>
      </c>
      <c r="E127" s="2">
        <v>3171.5</v>
      </c>
      <c r="F127" s="2">
        <v>101289.55</v>
      </c>
      <c r="G127" s="8" t="s">
        <v>13</v>
      </c>
      <c r="H127" t="s">
        <v>25</v>
      </c>
      <c r="I127">
        <v>0</v>
      </c>
      <c r="J127" t="s">
        <v>15</v>
      </c>
      <c r="K127" s="8" t="s">
        <v>15</v>
      </c>
      <c r="L127" t="str">
        <f>IF(Table1[[#This Row],[Age]]&lt;25,"Under 25",IF(Table1[[#This Row],[Age]]&lt;35,"25-34",IF(Table1[[#This Row],[Age]]&lt;45,"35-44",IF(Table1[[#This Row],[Age]]&lt;55,"45-54","55+"))))</f>
        <v>45-54</v>
      </c>
    </row>
    <row r="128" spans="1:12" x14ac:dyDescent="0.3">
      <c r="A128" s="8" t="s">
        <v>151</v>
      </c>
      <c r="B128" s="6">
        <v>60</v>
      </c>
      <c r="C128" s="8" t="s">
        <v>17</v>
      </c>
      <c r="D128" s="6">
        <v>30</v>
      </c>
      <c r="E128" s="2">
        <v>3395.03</v>
      </c>
      <c r="F128" s="2">
        <v>92141.72</v>
      </c>
      <c r="G128" s="8" t="s">
        <v>20</v>
      </c>
      <c r="H128" t="s">
        <v>46</v>
      </c>
      <c r="I128">
        <v>6</v>
      </c>
      <c r="J128" t="s">
        <v>15</v>
      </c>
      <c r="K128" s="8" t="s">
        <v>23</v>
      </c>
      <c r="L128" t="str">
        <f>IF(Table1[[#This Row],[Age]]&lt;25,"Under 25",IF(Table1[[#This Row],[Age]]&lt;35,"25-34",IF(Table1[[#This Row],[Age]]&lt;45,"35-44",IF(Table1[[#This Row],[Age]]&lt;55,"45-54","55+"))))</f>
        <v>55+</v>
      </c>
    </row>
    <row r="129" spans="1:12" x14ac:dyDescent="0.3">
      <c r="A129" s="8" t="s">
        <v>152</v>
      </c>
      <c r="B129" s="6">
        <v>63</v>
      </c>
      <c r="C129" s="8" t="s">
        <v>17</v>
      </c>
      <c r="D129" s="6">
        <v>5</v>
      </c>
      <c r="E129" s="2">
        <v>4546.7</v>
      </c>
      <c r="F129" s="2">
        <v>21558.560000000001</v>
      </c>
      <c r="G129" s="8" t="s">
        <v>13</v>
      </c>
      <c r="H129" t="s">
        <v>21</v>
      </c>
      <c r="I129">
        <v>4</v>
      </c>
      <c r="J129" t="s">
        <v>15</v>
      </c>
      <c r="K129" s="8" t="s">
        <v>15</v>
      </c>
      <c r="L129" t="str">
        <f>IF(Table1[[#This Row],[Age]]&lt;25,"Under 25",IF(Table1[[#This Row],[Age]]&lt;35,"25-34",IF(Table1[[#This Row],[Age]]&lt;45,"35-44",IF(Table1[[#This Row],[Age]]&lt;55,"45-54","55+"))))</f>
        <v>55+</v>
      </c>
    </row>
    <row r="130" spans="1:12" x14ac:dyDescent="0.3">
      <c r="A130" s="8" t="s">
        <v>153</v>
      </c>
      <c r="B130" s="6">
        <v>53</v>
      </c>
      <c r="C130" s="8" t="s">
        <v>17</v>
      </c>
      <c r="D130" s="6">
        <v>25</v>
      </c>
      <c r="E130" s="2">
        <v>4975.82</v>
      </c>
      <c r="F130" s="2">
        <v>121855.78</v>
      </c>
      <c r="G130" s="8" t="s">
        <v>13</v>
      </c>
      <c r="H130" t="s">
        <v>25</v>
      </c>
      <c r="I130">
        <v>6</v>
      </c>
      <c r="J130" t="s">
        <v>18</v>
      </c>
      <c r="K130" s="8" t="s">
        <v>15</v>
      </c>
      <c r="L130" t="str">
        <f>IF(Table1[[#This Row],[Age]]&lt;25,"Under 25",IF(Table1[[#This Row],[Age]]&lt;35,"25-34",IF(Table1[[#This Row],[Age]]&lt;45,"35-44",IF(Table1[[#This Row],[Age]]&lt;55,"45-54","55+"))))</f>
        <v>45-54</v>
      </c>
    </row>
    <row r="131" spans="1:12" x14ac:dyDescent="0.3">
      <c r="A131" s="8" t="s">
        <v>154</v>
      </c>
      <c r="B131" s="6">
        <v>25</v>
      </c>
      <c r="C131" s="8" t="s">
        <v>12</v>
      </c>
      <c r="D131" s="6">
        <v>28</v>
      </c>
      <c r="E131" s="2">
        <v>2532</v>
      </c>
      <c r="F131" s="2">
        <v>66236.289999999994</v>
      </c>
      <c r="G131" s="8" t="s">
        <v>13</v>
      </c>
      <c r="H131" t="s">
        <v>46</v>
      </c>
      <c r="I131">
        <v>6</v>
      </c>
      <c r="J131" t="s">
        <v>22</v>
      </c>
      <c r="K131" s="8" t="s">
        <v>15</v>
      </c>
      <c r="L131" t="str">
        <f>IF(Table1[[#This Row],[Age]]&lt;25,"Under 25",IF(Table1[[#This Row],[Age]]&lt;35,"25-34",IF(Table1[[#This Row],[Age]]&lt;45,"35-44",IF(Table1[[#This Row],[Age]]&lt;55,"45-54","55+"))))</f>
        <v>25-34</v>
      </c>
    </row>
    <row r="132" spans="1:12" x14ac:dyDescent="0.3">
      <c r="A132" s="8" t="s">
        <v>155</v>
      </c>
      <c r="B132" s="6">
        <v>38</v>
      </c>
      <c r="C132" s="8" t="s">
        <v>17</v>
      </c>
      <c r="D132" s="6">
        <v>21</v>
      </c>
      <c r="E132" s="2">
        <v>3492.99</v>
      </c>
      <c r="F132" s="2">
        <v>70135.91</v>
      </c>
      <c r="G132" s="8" t="s">
        <v>13</v>
      </c>
      <c r="H132" t="s">
        <v>46</v>
      </c>
      <c r="I132">
        <v>1</v>
      </c>
      <c r="J132" t="s">
        <v>18</v>
      </c>
      <c r="K132" s="8" t="s">
        <v>15</v>
      </c>
      <c r="L132" t="str">
        <f>IF(Table1[[#This Row],[Age]]&lt;25,"Under 25",IF(Table1[[#This Row],[Age]]&lt;35,"25-34",IF(Table1[[#This Row],[Age]]&lt;45,"35-44",IF(Table1[[#This Row],[Age]]&lt;55,"45-54","55+"))))</f>
        <v>35-44</v>
      </c>
    </row>
    <row r="133" spans="1:12" x14ac:dyDescent="0.3">
      <c r="A133" s="8" t="s">
        <v>156</v>
      </c>
      <c r="B133" s="6">
        <v>23</v>
      </c>
      <c r="C133" s="8" t="s">
        <v>17</v>
      </c>
      <c r="D133" s="6">
        <v>7</v>
      </c>
      <c r="E133" s="2">
        <v>3850.65</v>
      </c>
      <c r="F133" s="2">
        <v>25765.77</v>
      </c>
      <c r="G133" s="8" t="s">
        <v>13</v>
      </c>
      <c r="H133" t="s">
        <v>14</v>
      </c>
      <c r="I133">
        <v>9</v>
      </c>
      <c r="J133" t="s">
        <v>15</v>
      </c>
      <c r="K133" s="8" t="s">
        <v>23</v>
      </c>
      <c r="L133" t="str">
        <f>IF(Table1[[#This Row],[Age]]&lt;25,"Under 25",IF(Table1[[#This Row],[Age]]&lt;35,"25-34",IF(Table1[[#This Row],[Age]]&lt;45,"35-44",IF(Table1[[#This Row],[Age]]&lt;55,"45-54","55+"))))</f>
        <v>Under 25</v>
      </c>
    </row>
    <row r="134" spans="1:12" x14ac:dyDescent="0.3">
      <c r="A134" s="8" t="s">
        <v>157</v>
      </c>
      <c r="B134" s="6">
        <v>60</v>
      </c>
      <c r="C134" s="8" t="s">
        <v>12</v>
      </c>
      <c r="D134" s="6">
        <v>27</v>
      </c>
      <c r="E134" s="2">
        <v>2091.19</v>
      </c>
      <c r="F134" s="2">
        <v>56450.9</v>
      </c>
      <c r="G134" s="8" t="s">
        <v>35</v>
      </c>
      <c r="H134" t="s">
        <v>14</v>
      </c>
      <c r="I134">
        <v>4</v>
      </c>
      <c r="J134" t="s">
        <v>15</v>
      </c>
      <c r="K134" s="8" t="s">
        <v>15</v>
      </c>
      <c r="L134" t="str">
        <f>IF(Table1[[#This Row],[Age]]&lt;25,"Under 25",IF(Table1[[#This Row],[Age]]&lt;35,"25-34",IF(Table1[[#This Row],[Age]]&lt;45,"35-44",IF(Table1[[#This Row],[Age]]&lt;55,"45-54","55+"))))</f>
        <v>55+</v>
      </c>
    </row>
    <row r="135" spans="1:12" x14ac:dyDescent="0.3">
      <c r="A135" s="8" t="s">
        <v>158</v>
      </c>
      <c r="B135" s="6">
        <v>24</v>
      </c>
      <c r="C135" s="8" t="s">
        <v>12</v>
      </c>
      <c r="D135" s="6">
        <v>10</v>
      </c>
      <c r="E135" s="2">
        <v>3455.31</v>
      </c>
      <c r="F135" s="2">
        <v>32260.04</v>
      </c>
      <c r="G135" s="8" t="s">
        <v>13</v>
      </c>
      <c r="H135" t="s">
        <v>25</v>
      </c>
      <c r="I135">
        <v>5</v>
      </c>
      <c r="J135" t="s">
        <v>18</v>
      </c>
      <c r="K135" s="8" t="s">
        <v>15</v>
      </c>
      <c r="L135" t="str">
        <f>IF(Table1[[#This Row],[Age]]&lt;25,"Under 25",IF(Table1[[#This Row],[Age]]&lt;35,"25-34",IF(Table1[[#This Row],[Age]]&lt;45,"35-44",IF(Table1[[#This Row],[Age]]&lt;55,"45-54","55+"))))</f>
        <v>Under 25</v>
      </c>
    </row>
    <row r="136" spans="1:12" x14ac:dyDescent="0.3">
      <c r="A136" s="8" t="s">
        <v>159</v>
      </c>
      <c r="B136" s="6">
        <v>54</v>
      </c>
      <c r="C136" s="8" t="s">
        <v>12</v>
      </c>
      <c r="D136" s="6">
        <v>52</v>
      </c>
      <c r="E136" s="2">
        <v>2431.0100000000002</v>
      </c>
      <c r="F136" s="2">
        <v>124408.23</v>
      </c>
      <c r="G136" s="8" t="s">
        <v>35</v>
      </c>
      <c r="H136" t="s">
        <v>25</v>
      </c>
      <c r="I136">
        <v>9</v>
      </c>
      <c r="J136" t="s">
        <v>15</v>
      </c>
      <c r="K136" s="8" t="s">
        <v>15</v>
      </c>
      <c r="L136" t="str">
        <f>IF(Table1[[#This Row],[Age]]&lt;25,"Under 25",IF(Table1[[#This Row],[Age]]&lt;35,"25-34",IF(Table1[[#This Row],[Age]]&lt;45,"35-44",IF(Table1[[#This Row],[Age]]&lt;55,"45-54","55+"))))</f>
        <v>45-54</v>
      </c>
    </row>
    <row r="137" spans="1:12" x14ac:dyDescent="0.3">
      <c r="A137" s="8" t="s">
        <v>160</v>
      </c>
      <c r="B137" s="6">
        <v>19</v>
      </c>
      <c r="C137" s="8" t="s">
        <v>17</v>
      </c>
      <c r="D137" s="6">
        <v>2</v>
      </c>
      <c r="E137" s="2">
        <v>1311.87</v>
      </c>
      <c r="F137" s="2">
        <v>2637.92</v>
      </c>
      <c r="G137" s="8" t="s">
        <v>13</v>
      </c>
      <c r="H137" t="s">
        <v>37</v>
      </c>
      <c r="I137">
        <v>5</v>
      </c>
      <c r="J137" t="s">
        <v>18</v>
      </c>
      <c r="K137" s="8" t="s">
        <v>23</v>
      </c>
      <c r="L137" t="str">
        <f>IF(Table1[[#This Row],[Age]]&lt;25,"Under 25",IF(Table1[[#This Row],[Age]]&lt;35,"25-34",IF(Table1[[#This Row],[Age]]&lt;45,"35-44",IF(Table1[[#This Row],[Age]]&lt;55,"45-54","55+"))))</f>
        <v>Under 25</v>
      </c>
    </row>
    <row r="138" spans="1:12" x14ac:dyDescent="0.3">
      <c r="A138" s="8" t="s">
        <v>161</v>
      </c>
      <c r="B138" s="6">
        <v>27</v>
      </c>
      <c r="C138" s="8" t="s">
        <v>17</v>
      </c>
      <c r="D138" s="6">
        <v>5</v>
      </c>
      <c r="E138" s="2">
        <v>1138.44</v>
      </c>
      <c r="F138" s="2">
        <v>5663.6</v>
      </c>
      <c r="G138" s="8" t="s">
        <v>13</v>
      </c>
      <c r="H138" t="s">
        <v>25</v>
      </c>
      <c r="I138">
        <v>3</v>
      </c>
      <c r="J138" t="s">
        <v>22</v>
      </c>
      <c r="K138" s="8" t="s">
        <v>23</v>
      </c>
      <c r="L138" t="str">
        <f>IF(Table1[[#This Row],[Age]]&lt;25,"Under 25",IF(Table1[[#This Row],[Age]]&lt;35,"25-34",IF(Table1[[#This Row],[Age]]&lt;45,"35-44",IF(Table1[[#This Row],[Age]]&lt;55,"45-54","55+"))))</f>
        <v>25-34</v>
      </c>
    </row>
    <row r="139" spans="1:12" x14ac:dyDescent="0.3">
      <c r="A139" s="8" t="s">
        <v>162</v>
      </c>
      <c r="B139" s="6">
        <v>39</v>
      </c>
      <c r="C139" s="8" t="s">
        <v>12</v>
      </c>
      <c r="D139" s="6">
        <v>24</v>
      </c>
      <c r="E139" s="2">
        <v>1902.37</v>
      </c>
      <c r="F139" s="2">
        <v>43312.74</v>
      </c>
      <c r="G139" s="8" t="s">
        <v>20</v>
      </c>
      <c r="H139" t="s">
        <v>25</v>
      </c>
      <c r="I139">
        <v>1</v>
      </c>
      <c r="J139" t="s">
        <v>18</v>
      </c>
      <c r="K139" s="8" t="s">
        <v>23</v>
      </c>
      <c r="L139" t="str">
        <f>IF(Table1[[#This Row],[Age]]&lt;25,"Under 25",IF(Table1[[#This Row],[Age]]&lt;35,"25-34",IF(Table1[[#This Row],[Age]]&lt;45,"35-44",IF(Table1[[#This Row],[Age]]&lt;55,"45-54","55+"))))</f>
        <v>35-44</v>
      </c>
    </row>
    <row r="140" spans="1:12" x14ac:dyDescent="0.3">
      <c r="A140" s="8" t="s">
        <v>163</v>
      </c>
      <c r="B140" s="6">
        <v>57</v>
      </c>
      <c r="C140" s="8" t="s">
        <v>12</v>
      </c>
      <c r="D140" s="6">
        <v>44</v>
      </c>
      <c r="E140" s="2">
        <v>867.12</v>
      </c>
      <c r="F140" s="2">
        <v>36873.879999999997</v>
      </c>
      <c r="G140" s="8" t="s">
        <v>13</v>
      </c>
      <c r="H140" t="s">
        <v>25</v>
      </c>
      <c r="I140">
        <v>7</v>
      </c>
      <c r="J140" t="s">
        <v>22</v>
      </c>
      <c r="K140" s="8" t="s">
        <v>23</v>
      </c>
      <c r="L140" t="str">
        <f>IF(Table1[[#This Row],[Age]]&lt;25,"Under 25",IF(Table1[[#This Row],[Age]]&lt;35,"25-34",IF(Table1[[#This Row],[Age]]&lt;45,"35-44",IF(Table1[[#This Row],[Age]]&lt;55,"45-54","55+"))))</f>
        <v>55+</v>
      </c>
    </row>
    <row r="141" spans="1:12" x14ac:dyDescent="0.3">
      <c r="A141" s="8" t="s">
        <v>164</v>
      </c>
      <c r="B141" s="6">
        <v>50</v>
      </c>
      <c r="C141" s="8" t="s">
        <v>12</v>
      </c>
      <c r="D141" s="6">
        <v>23</v>
      </c>
      <c r="E141" s="2">
        <v>2434.61</v>
      </c>
      <c r="F141" s="2">
        <v>52775.53</v>
      </c>
      <c r="G141" s="8" t="s">
        <v>35</v>
      </c>
      <c r="H141" t="s">
        <v>46</v>
      </c>
      <c r="I141">
        <v>8</v>
      </c>
      <c r="J141" t="s">
        <v>15</v>
      </c>
      <c r="K141" s="8" t="s">
        <v>23</v>
      </c>
      <c r="L141" t="str">
        <f>IF(Table1[[#This Row],[Age]]&lt;25,"Under 25",IF(Table1[[#This Row],[Age]]&lt;35,"25-34",IF(Table1[[#This Row],[Age]]&lt;45,"35-44",IF(Table1[[#This Row],[Age]]&lt;55,"45-54","55+"))))</f>
        <v>45-54</v>
      </c>
    </row>
    <row r="142" spans="1:12" x14ac:dyDescent="0.3">
      <c r="A142" s="8" t="s">
        <v>165</v>
      </c>
      <c r="B142" s="6">
        <v>32</v>
      </c>
      <c r="C142" s="8" t="s">
        <v>17</v>
      </c>
      <c r="D142" s="6">
        <v>39</v>
      </c>
      <c r="E142" s="2">
        <v>746.52</v>
      </c>
      <c r="F142" s="2">
        <v>27095.599999999999</v>
      </c>
      <c r="G142" s="8" t="s">
        <v>20</v>
      </c>
      <c r="H142" t="s">
        <v>21</v>
      </c>
      <c r="I142">
        <v>4</v>
      </c>
      <c r="J142" t="s">
        <v>22</v>
      </c>
      <c r="K142" s="8" t="s">
        <v>15</v>
      </c>
      <c r="L142" t="str">
        <f>IF(Table1[[#This Row],[Age]]&lt;25,"Under 25",IF(Table1[[#This Row],[Age]]&lt;35,"25-34",IF(Table1[[#This Row],[Age]]&lt;45,"35-44",IF(Table1[[#This Row],[Age]]&lt;55,"45-54","55+"))))</f>
        <v>25-34</v>
      </c>
    </row>
    <row r="143" spans="1:12" x14ac:dyDescent="0.3">
      <c r="A143" s="8" t="s">
        <v>166</v>
      </c>
      <c r="B143" s="6">
        <v>18</v>
      </c>
      <c r="C143" s="8" t="s">
        <v>17</v>
      </c>
      <c r="D143" s="6">
        <v>48</v>
      </c>
      <c r="E143" s="2">
        <v>2437.9499999999998</v>
      </c>
      <c r="F143" s="2">
        <v>107587.07</v>
      </c>
      <c r="G143" s="8" t="s">
        <v>13</v>
      </c>
      <c r="H143" t="s">
        <v>21</v>
      </c>
      <c r="I143">
        <v>8</v>
      </c>
      <c r="J143" t="s">
        <v>15</v>
      </c>
      <c r="K143" s="8" t="s">
        <v>15</v>
      </c>
      <c r="L143" t="str">
        <f>IF(Table1[[#This Row],[Age]]&lt;25,"Under 25",IF(Table1[[#This Row],[Age]]&lt;35,"25-34",IF(Table1[[#This Row],[Age]]&lt;45,"35-44",IF(Table1[[#This Row],[Age]]&lt;55,"45-54","55+"))))</f>
        <v>Under 25</v>
      </c>
    </row>
    <row r="144" spans="1:12" x14ac:dyDescent="0.3">
      <c r="A144" s="8" t="s">
        <v>167</v>
      </c>
      <c r="B144" s="6">
        <v>40</v>
      </c>
      <c r="C144" s="8" t="s">
        <v>12</v>
      </c>
      <c r="D144" s="6">
        <v>26</v>
      </c>
      <c r="E144" s="2">
        <v>4377.9399999999996</v>
      </c>
      <c r="F144" s="2">
        <v>103166.06</v>
      </c>
      <c r="G144" s="8" t="s">
        <v>13</v>
      </c>
      <c r="H144" t="s">
        <v>14</v>
      </c>
      <c r="I144">
        <v>5</v>
      </c>
      <c r="J144" t="s">
        <v>15</v>
      </c>
      <c r="K144" s="8" t="s">
        <v>23</v>
      </c>
      <c r="L144" t="str">
        <f>IF(Table1[[#This Row],[Age]]&lt;25,"Under 25",IF(Table1[[#This Row],[Age]]&lt;35,"25-34",IF(Table1[[#This Row],[Age]]&lt;45,"35-44",IF(Table1[[#This Row],[Age]]&lt;55,"45-54","55+"))))</f>
        <v>35-44</v>
      </c>
    </row>
    <row r="145" spans="1:12" x14ac:dyDescent="0.3">
      <c r="A145" s="8" t="s">
        <v>168</v>
      </c>
      <c r="B145" s="6">
        <v>43</v>
      </c>
      <c r="C145" s="8" t="s">
        <v>17</v>
      </c>
      <c r="D145" s="6">
        <v>19</v>
      </c>
      <c r="E145" s="2">
        <v>1018.28</v>
      </c>
      <c r="F145" s="2">
        <v>17473.12</v>
      </c>
      <c r="G145" s="8" t="s">
        <v>13</v>
      </c>
      <c r="H145" t="s">
        <v>25</v>
      </c>
      <c r="I145">
        <v>7</v>
      </c>
      <c r="J145" t="s">
        <v>15</v>
      </c>
      <c r="K145" s="8" t="s">
        <v>15</v>
      </c>
      <c r="L145" t="str">
        <f>IF(Table1[[#This Row],[Age]]&lt;25,"Under 25",IF(Table1[[#This Row],[Age]]&lt;35,"25-34",IF(Table1[[#This Row],[Age]]&lt;45,"35-44",IF(Table1[[#This Row],[Age]]&lt;55,"45-54","55+"))))</f>
        <v>35-44</v>
      </c>
    </row>
    <row r="146" spans="1:12" x14ac:dyDescent="0.3">
      <c r="A146" s="8" t="s">
        <v>169</v>
      </c>
      <c r="B146" s="6">
        <v>23</v>
      </c>
      <c r="C146" s="8" t="s">
        <v>17</v>
      </c>
      <c r="D146" s="6">
        <v>55</v>
      </c>
      <c r="E146" s="2">
        <v>976.38</v>
      </c>
      <c r="F146" s="2">
        <v>51840.24</v>
      </c>
      <c r="G146" s="8" t="s">
        <v>13</v>
      </c>
      <c r="H146" t="s">
        <v>14</v>
      </c>
      <c r="I146">
        <v>6</v>
      </c>
      <c r="J146" t="s">
        <v>22</v>
      </c>
      <c r="K146" s="8" t="s">
        <v>15</v>
      </c>
      <c r="L146" t="str">
        <f>IF(Table1[[#This Row],[Age]]&lt;25,"Under 25",IF(Table1[[#This Row],[Age]]&lt;35,"25-34",IF(Table1[[#This Row],[Age]]&lt;45,"35-44",IF(Table1[[#This Row],[Age]]&lt;55,"45-54","55+"))))</f>
        <v>Under 25</v>
      </c>
    </row>
    <row r="147" spans="1:12" x14ac:dyDescent="0.3">
      <c r="A147" s="8" t="s">
        <v>170</v>
      </c>
      <c r="B147" s="6">
        <v>32</v>
      </c>
      <c r="C147" s="8" t="s">
        <v>17</v>
      </c>
      <c r="D147" s="6">
        <v>50</v>
      </c>
      <c r="E147" s="2">
        <v>1256.5999999999999</v>
      </c>
      <c r="F147" s="2">
        <v>61358.05</v>
      </c>
      <c r="G147" s="8" t="s">
        <v>13</v>
      </c>
      <c r="H147" t="s">
        <v>25</v>
      </c>
      <c r="I147">
        <v>3</v>
      </c>
      <c r="J147" t="s">
        <v>22</v>
      </c>
      <c r="K147" s="8" t="s">
        <v>23</v>
      </c>
      <c r="L147" t="str">
        <f>IF(Table1[[#This Row],[Age]]&lt;25,"Under 25",IF(Table1[[#This Row],[Age]]&lt;35,"25-34",IF(Table1[[#This Row],[Age]]&lt;45,"35-44",IF(Table1[[#This Row],[Age]]&lt;55,"45-54","55+"))))</f>
        <v>25-34</v>
      </c>
    </row>
    <row r="148" spans="1:12" x14ac:dyDescent="0.3">
      <c r="A148" s="8" t="s">
        <v>171</v>
      </c>
      <c r="B148" s="6">
        <v>59</v>
      </c>
      <c r="C148" s="8" t="s">
        <v>12</v>
      </c>
      <c r="D148" s="6">
        <v>16</v>
      </c>
      <c r="E148" s="2">
        <v>962.62</v>
      </c>
      <c r="F148" s="2">
        <v>14453.09</v>
      </c>
      <c r="G148" s="8" t="s">
        <v>13</v>
      </c>
      <c r="H148" t="s">
        <v>21</v>
      </c>
      <c r="I148">
        <v>10</v>
      </c>
      <c r="J148" t="s">
        <v>18</v>
      </c>
      <c r="K148" s="8" t="s">
        <v>23</v>
      </c>
      <c r="L148" t="str">
        <f>IF(Table1[[#This Row],[Age]]&lt;25,"Under 25",IF(Table1[[#This Row],[Age]]&lt;35,"25-34",IF(Table1[[#This Row],[Age]]&lt;45,"35-44",IF(Table1[[#This Row],[Age]]&lt;55,"45-54","55+"))))</f>
        <v>55+</v>
      </c>
    </row>
    <row r="149" spans="1:12" x14ac:dyDescent="0.3">
      <c r="A149" s="8" t="s">
        <v>172</v>
      </c>
      <c r="B149" s="6">
        <v>58</v>
      </c>
      <c r="C149" s="8" t="s">
        <v>17</v>
      </c>
      <c r="D149" s="6">
        <v>30</v>
      </c>
      <c r="E149" s="2">
        <v>3895.01</v>
      </c>
      <c r="F149" s="2">
        <v>118484.05</v>
      </c>
      <c r="G149" s="8" t="s">
        <v>13</v>
      </c>
      <c r="H149" t="s">
        <v>25</v>
      </c>
      <c r="I149">
        <v>10</v>
      </c>
      <c r="J149" t="s">
        <v>15</v>
      </c>
      <c r="K149" s="8" t="s">
        <v>15</v>
      </c>
      <c r="L149" t="str">
        <f>IF(Table1[[#This Row],[Age]]&lt;25,"Under 25",IF(Table1[[#This Row],[Age]]&lt;35,"25-34",IF(Table1[[#This Row],[Age]]&lt;45,"35-44",IF(Table1[[#This Row],[Age]]&lt;55,"45-54","55+"))))</f>
        <v>55+</v>
      </c>
    </row>
    <row r="150" spans="1:12" x14ac:dyDescent="0.3">
      <c r="A150" s="8" t="s">
        <v>173</v>
      </c>
      <c r="B150" s="6">
        <v>38</v>
      </c>
      <c r="C150" s="8" t="s">
        <v>17</v>
      </c>
      <c r="D150" s="6">
        <v>10</v>
      </c>
      <c r="E150" s="2">
        <v>2478.9299999999998</v>
      </c>
      <c r="F150" s="2">
        <v>24054</v>
      </c>
      <c r="G150" s="8" t="s">
        <v>35</v>
      </c>
      <c r="H150" t="s">
        <v>37</v>
      </c>
      <c r="I150">
        <v>9</v>
      </c>
      <c r="J150" t="s">
        <v>18</v>
      </c>
      <c r="K150" s="8" t="s">
        <v>23</v>
      </c>
      <c r="L150" t="str">
        <f>IF(Table1[[#This Row],[Age]]&lt;25,"Under 25",IF(Table1[[#This Row],[Age]]&lt;35,"25-34",IF(Table1[[#This Row],[Age]]&lt;45,"35-44",IF(Table1[[#This Row],[Age]]&lt;55,"45-54","55+"))))</f>
        <v>35-44</v>
      </c>
    </row>
    <row r="151" spans="1:12" x14ac:dyDescent="0.3">
      <c r="A151" s="8" t="s">
        <v>174</v>
      </c>
      <c r="B151" s="6">
        <v>22</v>
      </c>
      <c r="C151" s="8" t="s">
        <v>17</v>
      </c>
      <c r="D151" s="6">
        <v>30</v>
      </c>
      <c r="E151" s="2">
        <v>2533.61</v>
      </c>
      <c r="F151" s="2">
        <v>69056.09</v>
      </c>
      <c r="G151" s="8" t="s">
        <v>20</v>
      </c>
      <c r="H151" t="s">
        <v>14</v>
      </c>
      <c r="I151">
        <v>10</v>
      </c>
      <c r="J151" t="s">
        <v>18</v>
      </c>
      <c r="K151" s="8" t="s">
        <v>15</v>
      </c>
      <c r="L151" t="str">
        <f>IF(Table1[[#This Row],[Age]]&lt;25,"Under 25",IF(Table1[[#This Row],[Age]]&lt;35,"25-34",IF(Table1[[#This Row],[Age]]&lt;45,"35-44",IF(Table1[[#This Row],[Age]]&lt;55,"45-54","55+"))))</f>
        <v>Under 25</v>
      </c>
    </row>
    <row r="152" spans="1:12" x14ac:dyDescent="0.3">
      <c r="A152" s="8" t="s">
        <v>175</v>
      </c>
      <c r="B152" s="6">
        <v>50</v>
      </c>
      <c r="C152" s="8" t="s">
        <v>17</v>
      </c>
      <c r="D152" s="6">
        <v>30</v>
      </c>
      <c r="E152" s="2">
        <v>3111.48</v>
      </c>
      <c r="F152" s="2">
        <v>97370.78</v>
      </c>
      <c r="G152" s="8" t="s">
        <v>35</v>
      </c>
      <c r="H152" t="s">
        <v>14</v>
      </c>
      <c r="I152">
        <v>7</v>
      </c>
      <c r="J152" t="s">
        <v>15</v>
      </c>
      <c r="K152" s="8" t="s">
        <v>15</v>
      </c>
      <c r="L152" t="str">
        <f>IF(Table1[[#This Row],[Age]]&lt;25,"Under 25",IF(Table1[[#This Row],[Age]]&lt;35,"25-34",IF(Table1[[#This Row],[Age]]&lt;45,"35-44",IF(Table1[[#This Row],[Age]]&lt;55,"45-54","55+"))))</f>
        <v>45-54</v>
      </c>
    </row>
    <row r="153" spans="1:12" x14ac:dyDescent="0.3">
      <c r="A153" s="8" t="s">
        <v>176</v>
      </c>
      <c r="B153" s="6">
        <v>38</v>
      </c>
      <c r="C153" s="8" t="s">
        <v>17</v>
      </c>
      <c r="D153" s="6">
        <v>33</v>
      </c>
      <c r="E153" s="2">
        <v>1178.8699999999999</v>
      </c>
      <c r="F153" s="2">
        <v>35373.5</v>
      </c>
      <c r="G153" s="8" t="s">
        <v>13</v>
      </c>
      <c r="H153" t="s">
        <v>37</v>
      </c>
      <c r="I153">
        <v>1</v>
      </c>
      <c r="J153" t="s">
        <v>15</v>
      </c>
      <c r="K153" s="8" t="s">
        <v>15</v>
      </c>
      <c r="L153" t="str">
        <f>IF(Table1[[#This Row],[Age]]&lt;25,"Under 25",IF(Table1[[#This Row],[Age]]&lt;35,"25-34",IF(Table1[[#This Row],[Age]]&lt;45,"35-44",IF(Table1[[#This Row],[Age]]&lt;55,"45-54","55+"))))</f>
        <v>35-44</v>
      </c>
    </row>
    <row r="154" spans="1:12" x14ac:dyDescent="0.3">
      <c r="A154" s="8" t="s">
        <v>177</v>
      </c>
      <c r="B154" s="6">
        <v>20</v>
      </c>
      <c r="C154" s="8" t="s">
        <v>12</v>
      </c>
      <c r="D154" s="6">
        <v>46</v>
      </c>
      <c r="E154" s="2">
        <v>2469.91</v>
      </c>
      <c r="F154" s="2">
        <v>109743.07</v>
      </c>
      <c r="G154" s="8" t="s">
        <v>13</v>
      </c>
      <c r="H154" t="s">
        <v>21</v>
      </c>
      <c r="I154">
        <v>5</v>
      </c>
      <c r="J154" t="s">
        <v>22</v>
      </c>
      <c r="K154" s="8" t="s">
        <v>15</v>
      </c>
      <c r="L154" t="str">
        <f>IF(Table1[[#This Row],[Age]]&lt;25,"Under 25",IF(Table1[[#This Row],[Age]]&lt;35,"25-34",IF(Table1[[#This Row],[Age]]&lt;45,"35-44",IF(Table1[[#This Row],[Age]]&lt;55,"45-54","55+"))))</f>
        <v>Under 25</v>
      </c>
    </row>
    <row r="155" spans="1:12" x14ac:dyDescent="0.3">
      <c r="A155" s="8" t="s">
        <v>178</v>
      </c>
      <c r="B155" s="6">
        <v>42</v>
      </c>
      <c r="C155" s="8" t="s">
        <v>17</v>
      </c>
      <c r="D155" s="6">
        <v>50</v>
      </c>
      <c r="E155" s="2">
        <v>2022.65</v>
      </c>
      <c r="F155" s="2">
        <v>100089.1</v>
      </c>
      <c r="G155" s="8" t="s">
        <v>35</v>
      </c>
      <c r="H155" t="s">
        <v>37</v>
      </c>
      <c r="I155">
        <v>1</v>
      </c>
      <c r="J155" t="s">
        <v>22</v>
      </c>
      <c r="K155" s="8" t="s">
        <v>23</v>
      </c>
      <c r="L155" t="str">
        <f>IF(Table1[[#This Row],[Age]]&lt;25,"Under 25",IF(Table1[[#This Row],[Age]]&lt;35,"25-34",IF(Table1[[#This Row],[Age]]&lt;45,"35-44",IF(Table1[[#This Row],[Age]]&lt;55,"45-54","55+"))))</f>
        <v>35-44</v>
      </c>
    </row>
    <row r="156" spans="1:12" x14ac:dyDescent="0.3">
      <c r="A156" s="8" t="s">
        <v>179</v>
      </c>
      <c r="B156" s="6">
        <v>61</v>
      </c>
      <c r="C156" s="8" t="s">
        <v>17</v>
      </c>
      <c r="D156" s="6">
        <v>19</v>
      </c>
      <c r="E156" s="2">
        <v>1633.98</v>
      </c>
      <c r="F156" s="2">
        <v>31906.67</v>
      </c>
      <c r="G156" s="8" t="s">
        <v>20</v>
      </c>
      <c r="H156" t="s">
        <v>25</v>
      </c>
      <c r="I156">
        <v>2</v>
      </c>
      <c r="J156" t="s">
        <v>22</v>
      </c>
      <c r="K156" s="8" t="s">
        <v>23</v>
      </c>
      <c r="L156" t="str">
        <f>IF(Table1[[#This Row],[Age]]&lt;25,"Under 25",IF(Table1[[#This Row],[Age]]&lt;35,"25-34",IF(Table1[[#This Row],[Age]]&lt;45,"35-44",IF(Table1[[#This Row],[Age]]&lt;55,"45-54","55+"))))</f>
        <v>55+</v>
      </c>
    </row>
    <row r="157" spans="1:12" x14ac:dyDescent="0.3">
      <c r="A157" s="8" t="s">
        <v>180</v>
      </c>
      <c r="B157" s="6">
        <v>60</v>
      </c>
      <c r="C157" s="8" t="s">
        <v>12</v>
      </c>
      <c r="D157" s="6">
        <v>59</v>
      </c>
      <c r="E157" s="2">
        <v>2074.19</v>
      </c>
      <c r="F157" s="2">
        <v>127903.09</v>
      </c>
      <c r="G157" s="8" t="s">
        <v>35</v>
      </c>
      <c r="H157" t="s">
        <v>46</v>
      </c>
      <c r="I157">
        <v>2</v>
      </c>
      <c r="J157" t="s">
        <v>15</v>
      </c>
      <c r="K157" s="8" t="s">
        <v>15</v>
      </c>
      <c r="L157" t="str">
        <f>IF(Table1[[#This Row],[Age]]&lt;25,"Under 25",IF(Table1[[#This Row],[Age]]&lt;35,"25-34",IF(Table1[[#This Row],[Age]]&lt;45,"35-44",IF(Table1[[#This Row],[Age]]&lt;55,"45-54","55+"))))</f>
        <v>55+</v>
      </c>
    </row>
    <row r="158" spans="1:12" x14ac:dyDescent="0.3">
      <c r="A158" s="8" t="s">
        <v>181</v>
      </c>
      <c r="B158" s="6">
        <v>23</v>
      </c>
      <c r="C158" s="8" t="s">
        <v>17</v>
      </c>
      <c r="D158" s="6">
        <v>36</v>
      </c>
      <c r="E158" s="2">
        <v>2195.06</v>
      </c>
      <c r="F158" s="2">
        <v>80503.77</v>
      </c>
      <c r="G158" s="8" t="s">
        <v>20</v>
      </c>
      <c r="H158" t="s">
        <v>25</v>
      </c>
      <c r="I158">
        <v>1</v>
      </c>
      <c r="J158" t="s">
        <v>15</v>
      </c>
      <c r="K158" s="8" t="s">
        <v>15</v>
      </c>
      <c r="L158" t="str">
        <f>IF(Table1[[#This Row],[Age]]&lt;25,"Under 25",IF(Table1[[#This Row],[Age]]&lt;35,"25-34",IF(Table1[[#This Row],[Age]]&lt;45,"35-44",IF(Table1[[#This Row],[Age]]&lt;55,"45-54","55+"))))</f>
        <v>Under 25</v>
      </c>
    </row>
    <row r="159" spans="1:12" x14ac:dyDescent="0.3">
      <c r="A159" s="8" t="s">
        <v>182</v>
      </c>
      <c r="B159" s="6">
        <v>50</v>
      </c>
      <c r="C159" s="8" t="s">
        <v>17</v>
      </c>
      <c r="D159" s="6">
        <v>2</v>
      </c>
      <c r="E159" s="2">
        <v>2131.69</v>
      </c>
      <c r="F159" s="2">
        <v>3952.32</v>
      </c>
      <c r="G159" s="8" t="s">
        <v>13</v>
      </c>
      <c r="H159" t="s">
        <v>46</v>
      </c>
      <c r="I159">
        <v>3</v>
      </c>
      <c r="J159" t="s">
        <v>18</v>
      </c>
      <c r="K159" s="8" t="s">
        <v>15</v>
      </c>
      <c r="L159" t="str">
        <f>IF(Table1[[#This Row],[Age]]&lt;25,"Under 25",IF(Table1[[#This Row],[Age]]&lt;35,"25-34",IF(Table1[[#This Row],[Age]]&lt;45,"35-44",IF(Table1[[#This Row],[Age]]&lt;55,"45-54","55+"))))</f>
        <v>45-54</v>
      </c>
    </row>
    <row r="160" spans="1:12" x14ac:dyDescent="0.3">
      <c r="A160" s="8" t="s">
        <v>183</v>
      </c>
      <c r="B160" s="6">
        <v>27</v>
      </c>
      <c r="C160" s="8" t="s">
        <v>12</v>
      </c>
      <c r="D160" s="6">
        <v>19</v>
      </c>
      <c r="E160" s="2">
        <v>4299.93</v>
      </c>
      <c r="F160" s="2">
        <v>74768.259999999995</v>
      </c>
      <c r="G160" s="8" t="s">
        <v>35</v>
      </c>
      <c r="H160" t="s">
        <v>25</v>
      </c>
      <c r="I160">
        <v>0</v>
      </c>
      <c r="J160" t="s">
        <v>15</v>
      </c>
      <c r="K160" s="8" t="s">
        <v>15</v>
      </c>
      <c r="L160" t="str">
        <f>IF(Table1[[#This Row],[Age]]&lt;25,"Under 25",IF(Table1[[#This Row],[Age]]&lt;35,"25-34",IF(Table1[[#This Row],[Age]]&lt;45,"35-44",IF(Table1[[#This Row],[Age]]&lt;55,"45-54","55+"))))</f>
        <v>25-34</v>
      </c>
    </row>
    <row r="161" spans="1:12" x14ac:dyDescent="0.3">
      <c r="A161" s="8" t="s">
        <v>184</v>
      </c>
      <c r="B161" s="6">
        <v>57</v>
      </c>
      <c r="C161" s="8" t="s">
        <v>12</v>
      </c>
      <c r="D161" s="6">
        <v>39</v>
      </c>
      <c r="E161" s="2">
        <v>2195.2399999999998</v>
      </c>
      <c r="F161" s="2">
        <v>79136.53</v>
      </c>
      <c r="G161" s="8" t="s">
        <v>20</v>
      </c>
      <c r="H161" t="s">
        <v>25</v>
      </c>
      <c r="I161">
        <v>2</v>
      </c>
      <c r="J161" t="s">
        <v>15</v>
      </c>
      <c r="K161" s="8" t="s">
        <v>15</v>
      </c>
      <c r="L161" t="str">
        <f>IF(Table1[[#This Row],[Age]]&lt;25,"Under 25",IF(Table1[[#This Row],[Age]]&lt;35,"25-34",IF(Table1[[#This Row],[Age]]&lt;45,"35-44",IF(Table1[[#This Row],[Age]]&lt;55,"45-54","55+"))))</f>
        <v>55+</v>
      </c>
    </row>
    <row r="162" spans="1:12" x14ac:dyDescent="0.3">
      <c r="A162" s="8" t="s">
        <v>185</v>
      </c>
      <c r="B162" s="6">
        <v>44</v>
      </c>
      <c r="C162" s="8" t="s">
        <v>17</v>
      </c>
      <c r="D162" s="6">
        <v>44</v>
      </c>
      <c r="E162" s="2">
        <v>3738.14</v>
      </c>
      <c r="F162" s="2">
        <v>171951.77</v>
      </c>
      <c r="G162" s="8" t="s">
        <v>35</v>
      </c>
      <c r="H162" t="s">
        <v>46</v>
      </c>
      <c r="I162">
        <v>3</v>
      </c>
      <c r="J162" t="s">
        <v>15</v>
      </c>
      <c r="K162" s="8" t="s">
        <v>23</v>
      </c>
      <c r="L162" t="str">
        <f>IF(Table1[[#This Row],[Age]]&lt;25,"Under 25",IF(Table1[[#This Row],[Age]]&lt;35,"25-34",IF(Table1[[#This Row],[Age]]&lt;45,"35-44",IF(Table1[[#This Row],[Age]]&lt;55,"45-54","55+"))))</f>
        <v>35-44</v>
      </c>
    </row>
    <row r="163" spans="1:12" x14ac:dyDescent="0.3">
      <c r="A163" s="8" t="s">
        <v>186</v>
      </c>
      <c r="B163" s="6">
        <v>48</v>
      </c>
      <c r="C163" s="8" t="s">
        <v>12</v>
      </c>
      <c r="D163" s="6">
        <v>24</v>
      </c>
      <c r="E163" s="2">
        <v>3552.38</v>
      </c>
      <c r="F163" s="2">
        <v>84026.26</v>
      </c>
      <c r="G163" s="8" t="s">
        <v>13</v>
      </c>
      <c r="H163" t="s">
        <v>37</v>
      </c>
      <c r="I163">
        <v>6</v>
      </c>
      <c r="J163" t="s">
        <v>15</v>
      </c>
      <c r="K163" s="8" t="s">
        <v>23</v>
      </c>
      <c r="L163" t="str">
        <f>IF(Table1[[#This Row],[Age]]&lt;25,"Under 25",IF(Table1[[#This Row],[Age]]&lt;35,"25-34",IF(Table1[[#This Row],[Age]]&lt;45,"35-44",IF(Table1[[#This Row],[Age]]&lt;55,"45-54","55+"))))</f>
        <v>45-54</v>
      </c>
    </row>
    <row r="164" spans="1:12" x14ac:dyDescent="0.3">
      <c r="A164" s="8" t="s">
        <v>187</v>
      </c>
      <c r="B164" s="6">
        <v>28</v>
      </c>
      <c r="C164" s="8" t="s">
        <v>12</v>
      </c>
      <c r="D164" s="6">
        <v>52</v>
      </c>
      <c r="E164" s="2">
        <v>3220.99</v>
      </c>
      <c r="F164" s="2">
        <v>172675.39</v>
      </c>
      <c r="G164" s="8" t="s">
        <v>13</v>
      </c>
      <c r="H164" t="s">
        <v>46</v>
      </c>
      <c r="I164">
        <v>5</v>
      </c>
      <c r="J164" t="s">
        <v>15</v>
      </c>
      <c r="K164" s="8" t="s">
        <v>15</v>
      </c>
      <c r="L164" t="str">
        <f>IF(Table1[[#This Row],[Age]]&lt;25,"Under 25",IF(Table1[[#This Row],[Age]]&lt;35,"25-34",IF(Table1[[#This Row],[Age]]&lt;45,"35-44",IF(Table1[[#This Row],[Age]]&lt;55,"45-54","55+"))))</f>
        <v>25-34</v>
      </c>
    </row>
    <row r="165" spans="1:12" x14ac:dyDescent="0.3">
      <c r="A165" s="8" t="s">
        <v>188</v>
      </c>
      <c r="B165" s="6">
        <v>63</v>
      </c>
      <c r="C165" s="8" t="s">
        <v>12</v>
      </c>
      <c r="D165" s="6">
        <v>19</v>
      </c>
      <c r="E165" s="2">
        <v>877.44</v>
      </c>
      <c r="F165" s="2">
        <v>15405.12</v>
      </c>
      <c r="G165" s="8" t="s">
        <v>13</v>
      </c>
      <c r="H165" t="s">
        <v>25</v>
      </c>
      <c r="I165">
        <v>2</v>
      </c>
      <c r="J165" t="s">
        <v>22</v>
      </c>
      <c r="K165" s="8" t="s">
        <v>23</v>
      </c>
      <c r="L165" t="str">
        <f>IF(Table1[[#This Row],[Age]]&lt;25,"Under 25",IF(Table1[[#This Row],[Age]]&lt;35,"25-34",IF(Table1[[#This Row],[Age]]&lt;45,"35-44",IF(Table1[[#This Row],[Age]]&lt;55,"45-54","55+"))))</f>
        <v>55+</v>
      </c>
    </row>
    <row r="166" spans="1:12" x14ac:dyDescent="0.3">
      <c r="A166" s="8" t="s">
        <v>189</v>
      </c>
      <c r="B166" s="6">
        <v>32</v>
      </c>
      <c r="C166" s="8" t="s">
        <v>17</v>
      </c>
      <c r="D166" s="6">
        <v>57</v>
      </c>
      <c r="E166" s="2">
        <v>2073.13</v>
      </c>
      <c r="F166" s="2">
        <v>106824.31</v>
      </c>
      <c r="G166" s="8" t="s">
        <v>13</v>
      </c>
      <c r="H166" t="s">
        <v>25</v>
      </c>
      <c r="I166">
        <v>5</v>
      </c>
      <c r="J166" t="s">
        <v>18</v>
      </c>
      <c r="K166" s="8" t="s">
        <v>23</v>
      </c>
      <c r="L166" t="str">
        <f>IF(Table1[[#This Row],[Age]]&lt;25,"Under 25",IF(Table1[[#This Row],[Age]]&lt;35,"25-34",IF(Table1[[#This Row],[Age]]&lt;45,"35-44",IF(Table1[[#This Row],[Age]]&lt;55,"45-54","55+"))))</f>
        <v>25-34</v>
      </c>
    </row>
    <row r="167" spans="1:12" x14ac:dyDescent="0.3">
      <c r="A167" s="8" t="s">
        <v>190</v>
      </c>
      <c r="B167" s="6">
        <v>23</v>
      </c>
      <c r="C167" s="8" t="s">
        <v>17</v>
      </c>
      <c r="D167" s="6">
        <v>15</v>
      </c>
      <c r="E167" s="2">
        <v>626.84</v>
      </c>
      <c r="F167" s="2">
        <v>9775.17</v>
      </c>
      <c r="G167" s="8" t="s">
        <v>20</v>
      </c>
      <c r="H167" t="s">
        <v>37</v>
      </c>
      <c r="I167">
        <v>2</v>
      </c>
      <c r="J167" t="s">
        <v>18</v>
      </c>
      <c r="K167" s="8" t="s">
        <v>23</v>
      </c>
      <c r="L167" t="str">
        <f>IF(Table1[[#This Row],[Age]]&lt;25,"Under 25",IF(Table1[[#This Row],[Age]]&lt;35,"25-34",IF(Table1[[#This Row],[Age]]&lt;45,"35-44",IF(Table1[[#This Row],[Age]]&lt;55,"45-54","55+"))))</f>
        <v>Under 25</v>
      </c>
    </row>
    <row r="168" spans="1:12" x14ac:dyDescent="0.3">
      <c r="A168" s="8" t="s">
        <v>191</v>
      </c>
      <c r="B168" s="6">
        <v>48</v>
      </c>
      <c r="C168" s="8" t="s">
        <v>12</v>
      </c>
      <c r="D168" s="6">
        <v>49</v>
      </c>
      <c r="E168" s="2">
        <v>3674.91</v>
      </c>
      <c r="F168" s="2">
        <v>174180.52</v>
      </c>
      <c r="G168" s="8" t="s">
        <v>13</v>
      </c>
      <c r="H168" t="s">
        <v>14</v>
      </c>
      <c r="I168">
        <v>0</v>
      </c>
      <c r="J168" t="s">
        <v>22</v>
      </c>
      <c r="K168" s="8" t="s">
        <v>23</v>
      </c>
      <c r="L168" t="str">
        <f>IF(Table1[[#This Row],[Age]]&lt;25,"Under 25",IF(Table1[[#This Row],[Age]]&lt;35,"25-34",IF(Table1[[#This Row],[Age]]&lt;45,"35-44",IF(Table1[[#This Row],[Age]]&lt;55,"45-54","55+"))))</f>
        <v>45-54</v>
      </c>
    </row>
    <row r="169" spans="1:12" x14ac:dyDescent="0.3">
      <c r="A169" s="8" t="s">
        <v>192</v>
      </c>
      <c r="B169" s="6">
        <v>27</v>
      </c>
      <c r="C169" s="8" t="s">
        <v>17</v>
      </c>
      <c r="D169" s="6">
        <v>8</v>
      </c>
      <c r="E169" s="2">
        <v>3992.78</v>
      </c>
      <c r="F169" s="2">
        <v>29886.63</v>
      </c>
      <c r="G169" s="8" t="s">
        <v>13</v>
      </c>
      <c r="H169" t="s">
        <v>21</v>
      </c>
      <c r="I169">
        <v>6</v>
      </c>
      <c r="J169" t="s">
        <v>15</v>
      </c>
      <c r="K169" s="8" t="s">
        <v>15</v>
      </c>
      <c r="L169" t="str">
        <f>IF(Table1[[#This Row],[Age]]&lt;25,"Under 25",IF(Table1[[#This Row],[Age]]&lt;35,"25-34",IF(Table1[[#This Row],[Age]]&lt;45,"35-44",IF(Table1[[#This Row],[Age]]&lt;55,"45-54","55+"))))</f>
        <v>25-34</v>
      </c>
    </row>
    <row r="170" spans="1:12" x14ac:dyDescent="0.3">
      <c r="A170" s="8" t="s">
        <v>193</v>
      </c>
      <c r="B170" s="6">
        <v>47</v>
      </c>
      <c r="C170" s="8" t="s">
        <v>12</v>
      </c>
      <c r="D170" s="6">
        <v>8</v>
      </c>
      <c r="E170" s="2">
        <v>4265.09</v>
      </c>
      <c r="F170" s="2">
        <v>33266.83</v>
      </c>
      <c r="G170" s="8" t="s">
        <v>13</v>
      </c>
      <c r="H170" t="s">
        <v>25</v>
      </c>
      <c r="I170">
        <v>9</v>
      </c>
      <c r="J170" t="s">
        <v>18</v>
      </c>
      <c r="K170" s="8" t="s">
        <v>23</v>
      </c>
      <c r="L170" t="str">
        <f>IF(Table1[[#This Row],[Age]]&lt;25,"Under 25",IF(Table1[[#This Row],[Age]]&lt;35,"25-34",IF(Table1[[#This Row],[Age]]&lt;45,"35-44",IF(Table1[[#This Row],[Age]]&lt;55,"45-54","55+"))))</f>
        <v>45-54</v>
      </c>
    </row>
    <row r="171" spans="1:12" x14ac:dyDescent="0.3">
      <c r="A171" s="8" t="s">
        <v>194</v>
      </c>
      <c r="B171" s="6">
        <v>36</v>
      </c>
      <c r="C171" s="8" t="s">
        <v>17</v>
      </c>
      <c r="D171" s="6">
        <v>1</v>
      </c>
      <c r="E171" s="2">
        <v>3266.64</v>
      </c>
      <c r="F171" s="2">
        <v>3057.85</v>
      </c>
      <c r="G171" s="8" t="s">
        <v>13</v>
      </c>
      <c r="H171" t="s">
        <v>14</v>
      </c>
      <c r="I171">
        <v>8</v>
      </c>
      <c r="J171" t="s">
        <v>22</v>
      </c>
      <c r="K171" s="8" t="s">
        <v>23</v>
      </c>
      <c r="L171" t="str">
        <f>IF(Table1[[#This Row],[Age]]&lt;25,"Under 25",IF(Table1[[#This Row],[Age]]&lt;35,"25-34",IF(Table1[[#This Row],[Age]]&lt;45,"35-44",IF(Table1[[#This Row],[Age]]&lt;55,"45-54","55+"))))</f>
        <v>35-44</v>
      </c>
    </row>
    <row r="172" spans="1:12" x14ac:dyDescent="0.3">
      <c r="A172" s="8" t="s">
        <v>195</v>
      </c>
      <c r="B172" s="6">
        <v>51</v>
      </c>
      <c r="C172" s="8" t="s">
        <v>12</v>
      </c>
      <c r="D172" s="6">
        <v>25</v>
      </c>
      <c r="E172" s="2">
        <v>4429.99</v>
      </c>
      <c r="F172" s="2">
        <v>100397.99</v>
      </c>
      <c r="G172" s="8" t="s">
        <v>13</v>
      </c>
      <c r="H172" t="s">
        <v>37</v>
      </c>
      <c r="I172">
        <v>4</v>
      </c>
      <c r="J172" t="s">
        <v>15</v>
      </c>
      <c r="K172" s="8" t="s">
        <v>23</v>
      </c>
      <c r="L172" t="str">
        <f>IF(Table1[[#This Row],[Age]]&lt;25,"Under 25",IF(Table1[[#This Row],[Age]]&lt;35,"25-34",IF(Table1[[#This Row],[Age]]&lt;45,"35-44",IF(Table1[[#This Row],[Age]]&lt;55,"45-54","55+"))))</f>
        <v>45-54</v>
      </c>
    </row>
    <row r="173" spans="1:12" x14ac:dyDescent="0.3">
      <c r="A173" s="8" t="s">
        <v>196</v>
      </c>
      <c r="B173" s="6">
        <v>22</v>
      </c>
      <c r="C173" s="8" t="s">
        <v>17</v>
      </c>
      <c r="D173" s="6">
        <v>16</v>
      </c>
      <c r="E173" s="2">
        <v>3798.23</v>
      </c>
      <c r="F173" s="2">
        <v>60421.55</v>
      </c>
      <c r="G173" s="8" t="s">
        <v>35</v>
      </c>
      <c r="H173" t="s">
        <v>37</v>
      </c>
      <c r="I173">
        <v>2</v>
      </c>
      <c r="J173" t="s">
        <v>18</v>
      </c>
      <c r="K173" s="8" t="s">
        <v>23</v>
      </c>
      <c r="L173" t="str">
        <f>IF(Table1[[#This Row],[Age]]&lt;25,"Under 25",IF(Table1[[#This Row],[Age]]&lt;35,"25-34",IF(Table1[[#This Row],[Age]]&lt;45,"35-44",IF(Table1[[#This Row],[Age]]&lt;55,"45-54","55+"))))</f>
        <v>Under 25</v>
      </c>
    </row>
    <row r="174" spans="1:12" x14ac:dyDescent="0.3">
      <c r="A174" s="8" t="s">
        <v>197</v>
      </c>
      <c r="B174" s="6">
        <v>39</v>
      </c>
      <c r="C174" s="8" t="s">
        <v>12</v>
      </c>
      <c r="D174" s="6">
        <v>54</v>
      </c>
      <c r="E174" s="2">
        <v>4006.14</v>
      </c>
      <c r="F174" s="2">
        <v>209775.29</v>
      </c>
      <c r="G174" s="8" t="s">
        <v>35</v>
      </c>
      <c r="H174" t="s">
        <v>21</v>
      </c>
      <c r="I174">
        <v>2</v>
      </c>
      <c r="J174" t="s">
        <v>18</v>
      </c>
      <c r="K174" s="8" t="s">
        <v>15</v>
      </c>
      <c r="L174" t="str">
        <f>IF(Table1[[#This Row],[Age]]&lt;25,"Under 25",IF(Table1[[#This Row],[Age]]&lt;35,"25-34",IF(Table1[[#This Row],[Age]]&lt;45,"35-44",IF(Table1[[#This Row],[Age]]&lt;55,"45-54","55+"))))</f>
        <v>35-44</v>
      </c>
    </row>
    <row r="175" spans="1:12" x14ac:dyDescent="0.3">
      <c r="A175" s="8" t="s">
        <v>198</v>
      </c>
      <c r="B175" s="6">
        <v>47</v>
      </c>
      <c r="C175" s="8" t="s">
        <v>12</v>
      </c>
      <c r="D175" s="6">
        <v>19</v>
      </c>
      <c r="E175" s="2">
        <v>1407.16</v>
      </c>
      <c r="F175" s="2">
        <v>27235.11</v>
      </c>
      <c r="G175" s="8" t="s">
        <v>20</v>
      </c>
      <c r="H175" t="s">
        <v>37</v>
      </c>
      <c r="I175">
        <v>4</v>
      </c>
      <c r="J175" t="s">
        <v>15</v>
      </c>
      <c r="K175" s="8" t="s">
        <v>15</v>
      </c>
      <c r="L175" t="str">
        <f>IF(Table1[[#This Row],[Age]]&lt;25,"Under 25",IF(Table1[[#This Row],[Age]]&lt;35,"25-34",IF(Table1[[#This Row],[Age]]&lt;45,"35-44",IF(Table1[[#This Row],[Age]]&lt;55,"45-54","55+"))))</f>
        <v>45-54</v>
      </c>
    </row>
    <row r="176" spans="1:12" x14ac:dyDescent="0.3">
      <c r="A176" s="8" t="s">
        <v>199</v>
      </c>
      <c r="B176" s="6">
        <v>52</v>
      </c>
      <c r="C176" s="8" t="s">
        <v>17</v>
      </c>
      <c r="D176" s="6">
        <v>17</v>
      </c>
      <c r="E176" s="2">
        <v>664.79</v>
      </c>
      <c r="F176" s="2">
        <v>11267.92</v>
      </c>
      <c r="G176" s="8" t="s">
        <v>13</v>
      </c>
      <c r="H176" t="s">
        <v>14</v>
      </c>
      <c r="I176">
        <v>10</v>
      </c>
      <c r="J176" t="s">
        <v>22</v>
      </c>
      <c r="K176" s="8" t="s">
        <v>23</v>
      </c>
      <c r="L176" t="str">
        <f>IF(Table1[[#This Row],[Age]]&lt;25,"Under 25",IF(Table1[[#This Row],[Age]]&lt;35,"25-34",IF(Table1[[#This Row],[Age]]&lt;45,"35-44",IF(Table1[[#This Row],[Age]]&lt;55,"45-54","55+"))))</f>
        <v>45-54</v>
      </c>
    </row>
    <row r="177" spans="1:12" x14ac:dyDescent="0.3">
      <c r="A177" s="8" t="s">
        <v>200</v>
      </c>
      <c r="B177" s="6">
        <v>41</v>
      </c>
      <c r="C177" s="8" t="s">
        <v>17</v>
      </c>
      <c r="D177" s="6">
        <v>57</v>
      </c>
      <c r="E177" s="2">
        <v>2300.1</v>
      </c>
      <c r="F177" s="2">
        <v>126642.93</v>
      </c>
      <c r="G177" s="8" t="s">
        <v>20</v>
      </c>
      <c r="H177" t="s">
        <v>37</v>
      </c>
      <c r="I177">
        <v>2</v>
      </c>
      <c r="J177" t="s">
        <v>22</v>
      </c>
      <c r="K177" s="8" t="s">
        <v>15</v>
      </c>
      <c r="L177" t="str">
        <f>IF(Table1[[#This Row],[Age]]&lt;25,"Under 25",IF(Table1[[#This Row],[Age]]&lt;35,"25-34",IF(Table1[[#This Row],[Age]]&lt;45,"35-44",IF(Table1[[#This Row],[Age]]&lt;55,"45-54","55+"))))</f>
        <v>35-44</v>
      </c>
    </row>
    <row r="178" spans="1:12" x14ac:dyDescent="0.3">
      <c r="A178" s="8" t="s">
        <v>201</v>
      </c>
      <c r="B178" s="6">
        <v>41</v>
      </c>
      <c r="C178" s="8" t="s">
        <v>17</v>
      </c>
      <c r="D178" s="6">
        <v>52</v>
      </c>
      <c r="E178" s="2">
        <v>871.75</v>
      </c>
      <c r="F178" s="2">
        <v>43684.35</v>
      </c>
      <c r="G178" s="8" t="s">
        <v>13</v>
      </c>
      <c r="H178" t="s">
        <v>21</v>
      </c>
      <c r="I178">
        <v>8</v>
      </c>
      <c r="J178" t="s">
        <v>22</v>
      </c>
      <c r="K178" s="8" t="s">
        <v>23</v>
      </c>
      <c r="L178" t="str">
        <f>IF(Table1[[#This Row],[Age]]&lt;25,"Under 25",IF(Table1[[#This Row],[Age]]&lt;35,"25-34",IF(Table1[[#This Row],[Age]]&lt;45,"35-44",IF(Table1[[#This Row],[Age]]&lt;55,"45-54","55+"))))</f>
        <v>35-44</v>
      </c>
    </row>
    <row r="179" spans="1:12" x14ac:dyDescent="0.3">
      <c r="A179" s="8" t="s">
        <v>202</v>
      </c>
      <c r="B179" s="6">
        <v>23</v>
      </c>
      <c r="C179" s="8" t="s">
        <v>17</v>
      </c>
      <c r="D179" s="6">
        <v>43</v>
      </c>
      <c r="E179" s="2">
        <v>1830.38</v>
      </c>
      <c r="F179" s="2">
        <v>76100.17</v>
      </c>
      <c r="G179" s="8" t="s">
        <v>35</v>
      </c>
      <c r="H179" t="s">
        <v>21</v>
      </c>
      <c r="I179">
        <v>7</v>
      </c>
      <c r="J179" t="s">
        <v>22</v>
      </c>
      <c r="K179" s="8" t="s">
        <v>15</v>
      </c>
      <c r="L179" t="str">
        <f>IF(Table1[[#This Row],[Age]]&lt;25,"Under 25",IF(Table1[[#This Row],[Age]]&lt;35,"25-34",IF(Table1[[#This Row],[Age]]&lt;45,"35-44",IF(Table1[[#This Row],[Age]]&lt;55,"45-54","55+"))))</f>
        <v>Under 25</v>
      </c>
    </row>
    <row r="180" spans="1:12" x14ac:dyDescent="0.3">
      <c r="A180" s="8" t="s">
        <v>203</v>
      </c>
      <c r="B180" s="6">
        <v>64</v>
      </c>
      <c r="C180" s="8" t="s">
        <v>17</v>
      </c>
      <c r="D180" s="6">
        <v>40</v>
      </c>
      <c r="E180" s="2">
        <v>4991.68</v>
      </c>
      <c r="F180" s="2">
        <v>187923.43</v>
      </c>
      <c r="G180" s="8" t="s">
        <v>20</v>
      </c>
      <c r="H180" t="s">
        <v>14</v>
      </c>
      <c r="I180">
        <v>1</v>
      </c>
      <c r="J180" t="s">
        <v>15</v>
      </c>
      <c r="K180" s="8" t="s">
        <v>15</v>
      </c>
      <c r="L180" t="str">
        <f>IF(Table1[[#This Row],[Age]]&lt;25,"Under 25",IF(Table1[[#This Row],[Age]]&lt;35,"25-34",IF(Table1[[#This Row],[Age]]&lt;45,"35-44",IF(Table1[[#This Row],[Age]]&lt;55,"45-54","55+"))))</f>
        <v>55+</v>
      </c>
    </row>
    <row r="181" spans="1:12" x14ac:dyDescent="0.3">
      <c r="A181" s="8" t="s">
        <v>204</v>
      </c>
      <c r="B181" s="6">
        <v>41</v>
      </c>
      <c r="C181" s="8" t="s">
        <v>12</v>
      </c>
      <c r="D181" s="6">
        <v>2</v>
      </c>
      <c r="E181" s="2">
        <v>1142.51</v>
      </c>
      <c r="F181" s="2">
        <v>2264.77</v>
      </c>
      <c r="G181" s="8" t="s">
        <v>35</v>
      </c>
      <c r="H181" t="s">
        <v>14</v>
      </c>
      <c r="I181">
        <v>2</v>
      </c>
      <c r="J181" t="s">
        <v>18</v>
      </c>
      <c r="K181" s="8" t="s">
        <v>23</v>
      </c>
      <c r="L181" t="str">
        <f>IF(Table1[[#This Row],[Age]]&lt;25,"Under 25",IF(Table1[[#This Row],[Age]]&lt;35,"25-34",IF(Table1[[#This Row],[Age]]&lt;45,"35-44",IF(Table1[[#This Row],[Age]]&lt;55,"45-54","55+"))))</f>
        <v>35-44</v>
      </c>
    </row>
    <row r="182" spans="1:12" x14ac:dyDescent="0.3">
      <c r="A182" s="8" t="s">
        <v>205</v>
      </c>
      <c r="B182" s="6">
        <v>59</v>
      </c>
      <c r="C182" s="8" t="s">
        <v>17</v>
      </c>
      <c r="D182" s="6">
        <v>24</v>
      </c>
      <c r="E182" s="2">
        <v>2222.84</v>
      </c>
      <c r="F182" s="2">
        <v>52552.56</v>
      </c>
      <c r="G182" s="8" t="s">
        <v>35</v>
      </c>
      <c r="H182" t="s">
        <v>46</v>
      </c>
      <c r="I182">
        <v>5</v>
      </c>
      <c r="J182" t="s">
        <v>22</v>
      </c>
      <c r="K182" s="8" t="s">
        <v>15</v>
      </c>
      <c r="L182" t="str">
        <f>IF(Table1[[#This Row],[Age]]&lt;25,"Under 25",IF(Table1[[#This Row],[Age]]&lt;35,"25-34",IF(Table1[[#This Row],[Age]]&lt;45,"35-44",IF(Table1[[#This Row],[Age]]&lt;55,"45-54","55+"))))</f>
        <v>55+</v>
      </c>
    </row>
    <row r="183" spans="1:12" x14ac:dyDescent="0.3">
      <c r="A183" s="8" t="s">
        <v>206</v>
      </c>
      <c r="B183" s="6">
        <v>22</v>
      </c>
      <c r="C183" s="8" t="s">
        <v>12</v>
      </c>
      <c r="D183" s="6">
        <v>34</v>
      </c>
      <c r="E183" s="2">
        <v>2151.27</v>
      </c>
      <c r="F183" s="2">
        <v>69278.13</v>
      </c>
      <c r="G183" s="8" t="s">
        <v>13</v>
      </c>
      <c r="H183" t="s">
        <v>14</v>
      </c>
      <c r="I183">
        <v>0</v>
      </c>
      <c r="J183" t="s">
        <v>15</v>
      </c>
      <c r="K183" s="8" t="s">
        <v>23</v>
      </c>
      <c r="L183" t="str">
        <f>IF(Table1[[#This Row],[Age]]&lt;25,"Under 25",IF(Table1[[#This Row],[Age]]&lt;35,"25-34",IF(Table1[[#This Row],[Age]]&lt;45,"35-44",IF(Table1[[#This Row],[Age]]&lt;55,"45-54","55+"))))</f>
        <v>Under 25</v>
      </c>
    </row>
    <row r="184" spans="1:12" x14ac:dyDescent="0.3">
      <c r="A184" s="8" t="s">
        <v>207</v>
      </c>
      <c r="B184" s="6">
        <v>51</v>
      </c>
      <c r="C184" s="8" t="s">
        <v>17</v>
      </c>
      <c r="D184" s="6">
        <v>59</v>
      </c>
      <c r="E184" s="2">
        <v>3027.53</v>
      </c>
      <c r="F184" s="2">
        <v>167775.79</v>
      </c>
      <c r="G184" s="8" t="s">
        <v>13</v>
      </c>
      <c r="H184" t="s">
        <v>46</v>
      </c>
      <c r="I184">
        <v>3</v>
      </c>
      <c r="J184" t="s">
        <v>15</v>
      </c>
      <c r="K184" s="8" t="s">
        <v>23</v>
      </c>
      <c r="L184" t="str">
        <f>IF(Table1[[#This Row],[Age]]&lt;25,"Under 25",IF(Table1[[#This Row],[Age]]&lt;35,"25-34",IF(Table1[[#This Row],[Age]]&lt;45,"35-44",IF(Table1[[#This Row],[Age]]&lt;55,"45-54","55+"))))</f>
        <v>45-54</v>
      </c>
    </row>
    <row r="185" spans="1:12" x14ac:dyDescent="0.3">
      <c r="A185" s="8" t="s">
        <v>208</v>
      </c>
      <c r="B185" s="6">
        <v>49</v>
      </c>
      <c r="C185" s="8" t="s">
        <v>12</v>
      </c>
      <c r="D185" s="6">
        <v>8</v>
      </c>
      <c r="E185" s="2">
        <v>1110.78</v>
      </c>
      <c r="F185" s="2">
        <v>8096.32</v>
      </c>
      <c r="G185" s="8" t="s">
        <v>13</v>
      </c>
      <c r="H185" t="s">
        <v>46</v>
      </c>
      <c r="I185">
        <v>1</v>
      </c>
      <c r="J185" t="s">
        <v>15</v>
      </c>
      <c r="K185" s="8" t="s">
        <v>15</v>
      </c>
      <c r="L185" t="str">
        <f>IF(Table1[[#This Row],[Age]]&lt;25,"Under 25",IF(Table1[[#This Row],[Age]]&lt;35,"25-34",IF(Table1[[#This Row],[Age]]&lt;45,"35-44",IF(Table1[[#This Row],[Age]]&lt;55,"45-54","55+"))))</f>
        <v>45-54</v>
      </c>
    </row>
    <row r="186" spans="1:12" x14ac:dyDescent="0.3">
      <c r="A186" s="8" t="s">
        <v>209</v>
      </c>
      <c r="B186" s="6">
        <v>38</v>
      </c>
      <c r="C186" s="8" t="s">
        <v>17</v>
      </c>
      <c r="D186" s="6">
        <v>46</v>
      </c>
      <c r="E186" s="2">
        <v>792.23</v>
      </c>
      <c r="F186" s="2">
        <v>35762.04</v>
      </c>
      <c r="G186" s="8" t="s">
        <v>20</v>
      </c>
      <c r="H186" t="s">
        <v>21</v>
      </c>
      <c r="I186">
        <v>10</v>
      </c>
      <c r="J186" t="s">
        <v>18</v>
      </c>
      <c r="K186" s="8" t="s">
        <v>15</v>
      </c>
      <c r="L186" t="str">
        <f>IF(Table1[[#This Row],[Age]]&lt;25,"Under 25",IF(Table1[[#This Row],[Age]]&lt;35,"25-34",IF(Table1[[#This Row],[Age]]&lt;45,"35-44",IF(Table1[[#This Row],[Age]]&lt;55,"45-54","55+"))))</f>
        <v>35-44</v>
      </c>
    </row>
    <row r="187" spans="1:12" x14ac:dyDescent="0.3">
      <c r="A187" s="8" t="s">
        <v>210</v>
      </c>
      <c r="B187" s="6">
        <v>50</v>
      </c>
      <c r="C187" s="8" t="s">
        <v>12</v>
      </c>
      <c r="D187" s="6">
        <v>8</v>
      </c>
      <c r="E187" s="2">
        <v>4933.1000000000004</v>
      </c>
      <c r="F187" s="2">
        <v>40207.129999999997</v>
      </c>
      <c r="G187" s="8" t="s">
        <v>13</v>
      </c>
      <c r="H187" t="s">
        <v>46</v>
      </c>
      <c r="I187">
        <v>0</v>
      </c>
      <c r="J187" t="s">
        <v>22</v>
      </c>
      <c r="K187" s="8" t="s">
        <v>15</v>
      </c>
      <c r="L187" t="str">
        <f>IF(Table1[[#This Row],[Age]]&lt;25,"Under 25",IF(Table1[[#This Row],[Age]]&lt;35,"25-34",IF(Table1[[#This Row],[Age]]&lt;45,"35-44",IF(Table1[[#This Row],[Age]]&lt;55,"45-54","55+"))))</f>
        <v>45-54</v>
      </c>
    </row>
    <row r="188" spans="1:12" x14ac:dyDescent="0.3">
      <c r="A188" s="8" t="s">
        <v>211</v>
      </c>
      <c r="B188" s="6">
        <v>41</v>
      </c>
      <c r="C188" s="8" t="s">
        <v>17</v>
      </c>
      <c r="D188" s="6">
        <v>52</v>
      </c>
      <c r="E188" s="2">
        <v>4923.55</v>
      </c>
      <c r="F188" s="2">
        <v>235405.83</v>
      </c>
      <c r="G188" s="8" t="s">
        <v>20</v>
      </c>
      <c r="H188" t="s">
        <v>14</v>
      </c>
      <c r="I188">
        <v>4</v>
      </c>
      <c r="J188" t="s">
        <v>22</v>
      </c>
      <c r="K188" s="8" t="s">
        <v>15</v>
      </c>
      <c r="L188" t="str">
        <f>IF(Table1[[#This Row],[Age]]&lt;25,"Under 25",IF(Table1[[#This Row],[Age]]&lt;35,"25-34",IF(Table1[[#This Row],[Age]]&lt;45,"35-44",IF(Table1[[#This Row],[Age]]&lt;55,"45-54","55+"))))</f>
        <v>35-44</v>
      </c>
    </row>
    <row r="189" spans="1:12" x14ac:dyDescent="0.3">
      <c r="A189" s="8" t="s">
        <v>212</v>
      </c>
      <c r="B189" s="6">
        <v>64</v>
      </c>
      <c r="C189" s="8" t="s">
        <v>17</v>
      </c>
      <c r="D189" s="6">
        <v>34</v>
      </c>
      <c r="E189" s="2">
        <v>2348.58</v>
      </c>
      <c r="F189" s="2">
        <v>76770.64</v>
      </c>
      <c r="G189" s="8" t="s">
        <v>35</v>
      </c>
      <c r="H189" t="s">
        <v>21</v>
      </c>
      <c r="I189">
        <v>5</v>
      </c>
      <c r="J189" t="s">
        <v>15</v>
      </c>
      <c r="K189" s="8" t="s">
        <v>23</v>
      </c>
      <c r="L189" t="str">
        <f>IF(Table1[[#This Row],[Age]]&lt;25,"Under 25",IF(Table1[[#This Row],[Age]]&lt;35,"25-34",IF(Table1[[#This Row],[Age]]&lt;45,"35-44",IF(Table1[[#This Row],[Age]]&lt;55,"45-54","55+"))))</f>
        <v>55+</v>
      </c>
    </row>
    <row r="190" spans="1:12" x14ac:dyDescent="0.3">
      <c r="A190" s="8" t="s">
        <v>213</v>
      </c>
      <c r="B190" s="6">
        <v>47</v>
      </c>
      <c r="C190" s="8" t="s">
        <v>17</v>
      </c>
      <c r="D190" s="6">
        <v>9</v>
      </c>
      <c r="E190" s="2">
        <v>4450.82</v>
      </c>
      <c r="F190" s="2">
        <v>40739.94</v>
      </c>
      <c r="G190" s="8" t="s">
        <v>35</v>
      </c>
      <c r="H190" t="s">
        <v>21</v>
      </c>
      <c r="I190">
        <v>2</v>
      </c>
      <c r="J190" t="s">
        <v>22</v>
      </c>
      <c r="K190" s="8" t="s">
        <v>15</v>
      </c>
      <c r="L190" t="str">
        <f>IF(Table1[[#This Row],[Age]]&lt;25,"Under 25",IF(Table1[[#This Row],[Age]]&lt;35,"25-34",IF(Table1[[#This Row],[Age]]&lt;45,"35-44",IF(Table1[[#This Row],[Age]]&lt;55,"45-54","55+"))))</f>
        <v>45-54</v>
      </c>
    </row>
    <row r="191" spans="1:12" x14ac:dyDescent="0.3">
      <c r="A191" s="8" t="s">
        <v>214</v>
      </c>
      <c r="B191" s="6">
        <v>21</v>
      </c>
      <c r="C191" s="8" t="s">
        <v>12</v>
      </c>
      <c r="D191" s="6">
        <v>34</v>
      </c>
      <c r="E191" s="2">
        <v>1188.57</v>
      </c>
      <c r="F191" s="2">
        <v>37368.339999999997</v>
      </c>
      <c r="G191" s="8" t="s">
        <v>13</v>
      </c>
      <c r="H191" t="s">
        <v>21</v>
      </c>
      <c r="I191">
        <v>5</v>
      </c>
      <c r="J191" t="s">
        <v>15</v>
      </c>
      <c r="K191" s="8" t="s">
        <v>15</v>
      </c>
      <c r="L191" t="str">
        <f>IF(Table1[[#This Row],[Age]]&lt;25,"Under 25",IF(Table1[[#This Row],[Age]]&lt;35,"25-34",IF(Table1[[#This Row],[Age]]&lt;45,"35-44",IF(Table1[[#This Row],[Age]]&lt;55,"45-54","55+"))))</f>
        <v>Under 25</v>
      </c>
    </row>
    <row r="192" spans="1:12" x14ac:dyDescent="0.3">
      <c r="A192" s="8" t="s">
        <v>215</v>
      </c>
      <c r="B192" s="6">
        <v>23</v>
      </c>
      <c r="C192" s="8" t="s">
        <v>17</v>
      </c>
      <c r="D192" s="6">
        <v>13</v>
      </c>
      <c r="E192" s="2">
        <v>3357.76</v>
      </c>
      <c r="F192" s="2">
        <v>42892.5</v>
      </c>
      <c r="G192" s="8" t="s">
        <v>13</v>
      </c>
      <c r="H192" t="s">
        <v>37</v>
      </c>
      <c r="I192">
        <v>9</v>
      </c>
      <c r="J192" t="s">
        <v>15</v>
      </c>
      <c r="K192" s="8" t="s">
        <v>23</v>
      </c>
      <c r="L192" t="str">
        <f>IF(Table1[[#This Row],[Age]]&lt;25,"Under 25",IF(Table1[[#This Row],[Age]]&lt;35,"25-34",IF(Table1[[#This Row],[Age]]&lt;45,"35-44",IF(Table1[[#This Row],[Age]]&lt;55,"45-54","55+"))))</f>
        <v>Under 25</v>
      </c>
    </row>
    <row r="193" spans="1:12" x14ac:dyDescent="0.3">
      <c r="A193" s="8" t="s">
        <v>216</v>
      </c>
      <c r="B193" s="6">
        <v>59</v>
      </c>
      <c r="C193" s="8" t="s">
        <v>12</v>
      </c>
      <c r="D193" s="6">
        <v>38</v>
      </c>
      <c r="E193" s="2">
        <v>4737.2299999999996</v>
      </c>
      <c r="F193" s="2">
        <v>166176.85</v>
      </c>
      <c r="G193" s="8" t="s">
        <v>35</v>
      </c>
      <c r="H193" t="s">
        <v>25</v>
      </c>
      <c r="I193">
        <v>5</v>
      </c>
      <c r="J193" t="s">
        <v>15</v>
      </c>
      <c r="K193" s="8" t="s">
        <v>23</v>
      </c>
      <c r="L193" t="str">
        <f>IF(Table1[[#This Row],[Age]]&lt;25,"Under 25",IF(Table1[[#This Row],[Age]]&lt;35,"25-34",IF(Table1[[#This Row],[Age]]&lt;45,"35-44",IF(Table1[[#This Row],[Age]]&lt;55,"45-54","55+"))))</f>
        <v>55+</v>
      </c>
    </row>
    <row r="194" spans="1:12" x14ac:dyDescent="0.3">
      <c r="A194" s="8" t="s">
        <v>217</v>
      </c>
      <c r="B194" s="6">
        <v>19</v>
      </c>
      <c r="C194" s="8" t="s">
        <v>12</v>
      </c>
      <c r="D194" s="6">
        <v>3</v>
      </c>
      <c r="E194" s="2">
        <v>4768.46</v>
      </c>
      <c r="F194" s="2">
        <v>14529.31</v>
      </c>
      <c r="G194" s="8" t="s">
        <v>13</v>
      </c>
      <c r="H194" t="s">
        <v>21</v>
      </c>
      <c r="I194">
        <v>9</v>
      </c>
      <c r="J194" t="s">
        <v>22</v>
      </c>
      <c r="K194" s="8" t="s">
        <v>23</v>
      </c>
      <c r="L194" t="str">
        <f>IF(Table1[[#This Row],[Age]]&lt;25,"Under 25",IF(Table1[[#This Row],[Age]]&lt;35,"25-34",IF(Table1[[#This Row],[Age]]&lt;45,"35-44",IF(Table1[[#This Row],[Age]]&lt;55,"45-54","55+"))))</f>
        <v>Under 25</v>
      </c>
    </row>
    <row r="195" spans="1:12" x14ac:dyDescent="0.3">
      <c r="A195" s="8" t="s">
        <v>218</v>
      </c>
      <c r="B195" s="6">
        <v>19</v>
      </c>
      <c r="C195" s="8" t="s">
        <v>17</v>
      </c>
      <c r="D195" s="6">
        <v>57</v>
      </c>
      <c r="E195" s="2">
        <v>3322.24</v>
      </c>
      <c r="F195" s="2">
        <v>178659.08</v>
      </c>
      <c r="G195" s="8" t="s">
        <v>20</v>
      </c>
      <c r="H195" t="s">
        <v>46</v>
      </c>
      <c r="I195">
        <v>3</v>
      </c>
      <c r="J195" t="s">
        <v>15</v>
      </c>
      <c r="K195" s="8" t="s">
        <v>15</v>
      </c>
      <c r="L195" t="str">
        <f>IF(Table1[[#This Row],[Age]]&lt;25,"Under 25",IF(Table1[[#This Row],[Age]]&lt;35,"25-34",IF(Table1[[#This Row],[Age]]&lt;45,"35-44",IF(Table1[[#This Row],[Age]]&lt;55,"45-54","55+"))))</f>
        <v>Under 25</v>
      </c>
    </row>
    <row r="196" spans="1:12" x14ac:dyDescent="0.3">
      <c r="A196" s="8" t="s">
        <v>219</v>
      </c>
      <c r="B196" s="6">
        <v>47</v>
      </c>
      <c r="C196" s="8" t="s">
        <v>12</v>
      </c>
      <c r="D196" s="6">
        <v>45</v>
      </c>
      <c r="E196" s="2">
        <v>769.61</v>
      </c>
      <c r="F196" s="2">
        <v>33452.9</v>
      </c>
      <c r="G196" s="8" t="s">
        <v>13</v>
      </c>
      <c r="H196" t="s">
        <v>21</v>
      </c>
      <c r="I196">
        <v>5</v>
      </c>
      <c r="J196" t="s">
        <v>15</v>
      </c>
      <c r="K196" s="8" t="s">
        <v>23</v>
      </c>
      <c r="L196" t="str">
        <f>IF(Table1[[#This Row],[Age]]&lt;25,"Under 25",IF(Table1[[#This Row],[Age]]&lt;35,"25-34",IF(Table1[[#This Row],[Age]]&lt;45,"35-44",IF(Table1[[#This Row],[Age]]&lt;55,"45-54","55+"))))</f>
        <v>45-54</v>
      </c>
    </row>
    <row r="197" spans="1:12" x14ac:dyDescent="0.3">
      <c r="A197" s="8" t="s">
        <v>220</v>
      </c>
      <c r="B197" s="6">
        <v>63</v>
      </c>
      <c r="C197" s="8" t="s">
        <v>17</v>
      </c>
      <c r="D197" s="6">
        <v>47</v>
      </c>
      <c r="E197" s="2">
        <v>4946.1099999999997</v>
      </c>
      <c r="F197" s="2">
        <v>221263.55</v>
      </c>
      <c r="G197" s="8" t="s">
        <v>13</v>
      </c>
      <c r="H197" t="s">
        <v>37</v>
      </c>
      <c r="I197">
        <v>8</v>
      </c>
      <c r="J197" t="s">
        <v>15</v>
      </c>
      <c r="K197" s="8" t="s">
        <v>23</v>
      </c>
      <c r="L197" t="str">
        <f>IF(Table1[[#This Row],[Age]]&lt;25,"Under 25",IF(Table1[[#This Row],[Age]]&lt;35,"25-34",IF(Table1[[#This Row],[Age]]&lt;45,"35-44",IF(Table1[[#This Row],[Age]]&lt;55,"45-54","55+"))))</f>
        <v>55+</v>
      </c>
    </row>
    <row r="198" spans="1:12" x14ac:dyDescent="0.3">
      <c r="A198" s="8" t="s">
        <v>221</v>
      </c>
      <c r="B198" s="6">
        <v>33</v>
      </c>
      <c r="C198" s="8" t="s">
        <v>17</v>
      </c>
      <c r="D198" s="6">
        <v>8</v>
      </c>
      <c r="E198" s="2">
        <v>1703.62</v>
      </c>
      <c r="F198" s="2">
        <v>12772.9</v>
      </c>
      <c r="G198" s="8" t="s">
        <v>13</v>
      </c>
      <c r="H198" t="s">
        <v>37</v>
      </c>
      <c r="I198">
        <v>6</v>
      </c>
      <c r="J198" t="s">
        <v>15</v>
      </c>
      <c r="K198" s="8" t="s">
        <v>23</v>
      </c>
      <c r="L198" t="str">
        <f>IF(Table1[[#This Row],[Age]]&lt;25,"Under 25",IF(Table1[[#This Row],[Age]]&lt;35,"25-34",IF(Table1[[#This Row],[Age]]&lt;45,"35-44",IF(Table1[[#This Row],[Age]]&lt;55,"45-54","55+"))))</f>
        <v>25-34</v>
      </c>
    </row>
    <row r="199" spans="1:12" x14ac:dyDescent="0.3">
      <c r="A199" s="8" t="s">
        <v>222</v>
      </c>
      <c r="B199" s="6">
        <v>28</v>
      </c>
      <c r="C199" s="8" t="s">
        <v>17</v>
      </c>
      <c r="D199" s="6">
        <v>60</v>
      </c>
      <c r="E199" s="2">
        <v>3099.59</v>
      </c>
      <c r="F199" s="2">
        <v>176101.45</v>
      </c>
      <c r="G199" s="8" t="s">
        <v>35</v>
      </c>
      <c r="H199" t="s">
        <v>46</v>
      </c>
      <c r="I199">
        <v>8</v>
      </c>
      <c r="J199" t="s">
        <v>22</v>
      </c>
      <c r="K199" s="8" t="s">
        <v>15</v>
      </c>
      <c r="L199" t="str">
        <f>IF(Table1[[#This Row],[Age]]&lt;25,"Under 25",IF(Table1[[#This Row],[Age]]&lt;35,"25-34",IF(Table1[[#This Row],[Age]]&lt;45,"35-44",IF(Table1[[#This Row],[Age]]&lt;55,"45-54","55+"))))</f>
        <v>25-34</v>
      </c>
    </row>
    <row r="200" spans="1:12" x14ac:dyDescent="0.3">
      <c r="A200" s="8" t="s">
        <v>223</v>
      </c>
      <c r="B200" s="6">
        <v>37</v>
      </c>
      <c r="C200" s="8" t="s">
        <v>17</v>
      </c>
      <c r="D200" s="6">
        <v>2</v>
      </c>
      <c r="E200" s="2">
        <v>905.22</v>
      </c>
      <c r="F200" s="2">
        <v>1736.19</v>
      </c>
      <c r="G200" s="8" t="s">
        <v>13</v>
      </c>
      <c r="H200" t="s">
        <v>21</v>
      </c>
      <c r="I200">
        <v>3</v>
      </c>
      <c r="J200" t="s">
        <v>15</v>
      </c>
      <c r="K200" s="8" t="s">
        <v>23</v>
      </c>
      <c r="L200" t="str">
        <f>IF(Table1[[#This Row],[Age]]&lt;25,"Under 25",IF(Table1[[#This Row],[Age]]&lt;35,"25-34",IF(Table1[[#This Row],[Age]]&lt;45,"35-44",IF(Table1[[#This Row],[Age]]&lt;55,"45-54","55+"))))</f>
        <v>35-44</v>
      </c>
    </row>
    <row r="201" spans="1:12" x14ac:dyDescent="0.3">
      <c r="A201" s="8" t="s">
        <v>224</v>
      </c>
      <c r="B201" s="6">
        <v>21</v>
      </c>
      <c r="C201" s="8" t="s">
        <v>17</v>
      </c>
      <c r="D201" s="6">
        <v>32</v>
      </c>
      <c r="E201" s="2">
        <v>3188.83</v>
      </c>
      <c r="F201" s="2">
        <v>104739.28</v>
      </c>
      <c r="G201" s="8" t="s">
        <v>35</v>
      </c>
      <c r="H201" t="s">
        <v>37</v>
      </c>
      <c r="I201">
        <v>8</v>
      </c>
      <c r="J201" t="s">
        <v>18</v>
      </c>
      <c r="K201" s="8" t="s">
        <v>15</v>
      </c>
      <c r="L201" t="str">
        <f>IF(Table1[[#This Row],[Age]]&lt;25,"Under 25",IF(Table1[[#This Row],[Age]]&lt;35,"25-34",IF(Table1[[#This Row],[Age]]&lt;45,"35-44",IF(Table1[[#This Row],[Age]]&lt;55,"45-54","55+"))))</f>
        <v>Under 25</v>
      </c>
    </row>
    <row r="202" spans="1:12" x14ac:dyDescent="0.3">
      <c r="A202" s="8" t="s">
        <v>225</v>
      </c>
      <c r="B202" s="6">
        <v>45</v>
      </c>
      <c r="C202" s="8" t="s">
        <v>12</v>
      </c>
      <c r="D202" s="6">
        <v>57</v>
      </c>
      <c r="E202" s="2">
        <v>1690.13</v>
      </c>
      <c r="F202" s="2">
        <v>91989.38</v>
      </c>
      <c r="G202" s="8" t="s">
        <v>13</v>
      </c>
      <c r="H202" t="s">
        <v>14</v>
      </c>
      <c r="I202">
        <v>6</v>
      </c>
      <c r="J202" t="s">
        <v>18</v>
      </c>
      <c r="K202" s="8" t="s">
        <v>15</v>
      </c>
      <c r="L202" t="str">
        <f>IF(Table1[[#This Row],[Age]]&lt;25,"Under 25",IF(Table1[[#This Row],[Age]]&lt;35,"25-34",IF(Table1[[#This Row],[Age]]&lt;45,"35-44",IF(Table1[[#This Row],[Age]]&lt;55,"45-54","55+"))))</f>
        <v>45-54</v>
      </c>
    </row>
    <row r="203" spans="1:12" x14ac:dyDescent="0.3">
      <c r="A203" s="8" t="s">
        <v>226</v>
      </c>
      <c r="B203" s="6">
        <v>30</v>
      </c>
      <c r="C203" s="8" t="s">
        <v>17</v>
      </c>
      <c r="D203" s="6">
        <v>36</v>
      </c>
      <c r="E203" s="2">
        <v>1798.71</v>
      </c>
      <c r="F203" s="2">
        <v>62030.82</v>
      </c>
      <c r="G203" s="8" t="s">
        <v>13</v>
      </c>
      <c r="H203" t="s">
        <v>25</v>
      </c>
      <c r="I203">
        <v>4</v>
      </c>
      <c r="J203" t="s">
        <v>15</v>
      </c>
      <c r="K203" s="8" t="s">
        <v>15</v>
      </c>
      <c r="L203" t="str">
        <f>IF(Table1[[#This Row],[Age]]&lt;25,"Under 25",IF(Table1[[#This Row],[Age]]&lt;35,"25-34",IF(Table1[[#This Row],[Age]]&lt;45,"35-44",IF(Table1[[#This Row],[Age]]&lt;55,"45-54","55+"))))</f>
        <v>25-34</v>
      </c>
    </row>
    <row r="204" spans="1:12" x14ac:dyDescent="0.3">
      <c r="A204" s="8" t="s">
        <v>227</v>
      </c>
      <c r="B204" s="6">
        <v>25</v>
      </c>
      <c r="C204" s="8" t="s">
        <v>12</v>
      </c>
      <c r="D204" s="6">
        <v>7</v>
      </c>
      <c r="E204" s="2">
        <v>2272.5700000000002</v>
      </c>
      <c r="F204" s="2">
        <v>16213.97</v>
      </c>
      <c r="G204" s="8" t="s">
        <v>13</v>
      </c>
      <c r="H204" t="s">
        <v>37</v>
      </c>
      <c r="I204">
        <v>2</v>
      </c>
      <c r="J204" t="s">
        <v>18</v>
      </c>
      <c r="K204" s="8" t="s">
        <v>15</v>
      </c>
      <c r="L204" t="str">
        <f>IF(Table1[[#This Row],[Age]]&lt;25,"Under 25",IF(Table1[[#This Row],[Age]]&lt;35,"25-34",IF(Table1[[#This Row],[Age]]&lt;45,"35-44",IF(Table1[[#This Row],[Age]]&lt;55,"45-54","55+"))))</f>
        <v>25-34</v>
      </c>
    </row>
    <row r="205" spans="1:12" x14ac:dyDescent="0.3">
      <c r="A205" s="8" t="s">
        <v>228</v>
      </c>
      <c r="B205" s="6">
        <v>43</v>
      </c>
      <c r="C205" s="8" t="s">
        <v>12</v>
      </c>
      <c r="D205" s="6">
        <v>3</v>
      </c>
      <c r="E205" s="2">
        <v>675.11</v>
      </c>
      <c r="F205" s="2">
        <v>2039.59</v>
      </c>
      <c r="G205" s="8" t="s">
        <v>20</v>
      </c>
      <c r="H205" t="s">
        <v>25</v>
      </c>
      <c r="I205">
        <v>7</v>
      </c>
      <c r="J205" t="s">
        <v>18</v>
      </c>
      <c r="K205" s="8" t="s">
        <v>15</v>
      </c>
      <c r="L205" t="str">
        <f>IF(Table1[[#This Row],[Age]]&lt;25,"Under 25",IF(Table1[[#This Row],[Age]]&lt;35,"25-34",IF(Table1[[#This Row],[Age]]&lt;45,"35-44",IF(Table1[[#This Row],[Age]]&lt;55,"45-54","55+"))))</f>
        <v>35-44</v>
      </c>
    </row>
    <row r="206" spans="1:12" x14ac:dyDescent="0.3">
      <c r="A206" s="8" t="s">
        <v>229</v>
      </c>
      <c r="B206" s="6">
        <v>50</v>
      </c>
      <c r="C206" s="8" t="s">
        <v>12</v>
      </c>
      <c r="D206" s="6">
        <v>21</v>
      </c>
      <c r="E206" s="2">
        <v>4691.16</v>
      </c>
      <c r="F206" s="2">
        <v>93369.89</v>
      </c>
      <c r="G206" s="8" t="s">
        <v>13</v>
      </c>
      <c r="H206" t="s">
        <v>25</v>
      </c>
      <c r="I206">
        <v>4</v>
      </c>
      <c r="J206" t="s">
        <v>15</v>
      </c>
      <c r="K206" s="8" t="s">
        <v>23</v>
      </c>
      <c r="L206" t="str">
        <f>IF(Table1[[#This Row],[Age]]&lt;25,"Under 25",IF(Table1[[#This Row],[Age]]&lt;35,"25-34",IF(Table1[[#This Row],[Age]]&lt;45,"35-44",IF(Table1[[#This Row],[Age]]&lt;55,"45-54","55+"))))</f>
        <v>45-54</v>
      </c>
    </row>
    <row r="207" spans="1:12" x14ac:dyDescent="0.3">
      <c r="A207" s="8" t="s">
        <v>230</v>
      </c>
      <c r="B207" s="6">
        <v>50</v>
      </c>
      <c r="C207" s="8" t="s">
        <v>17</v>
      </c>
      <c r="D207" s="6">
        <v>46</v>
      </c>
      <c r="E207" s="2">
        <v>3033.16</v>
      </c>
      <c r="F207" s="2">
        <v>135511.76</v>
      </c>
      <c r="G207" s="8" t="s">
        <v>13</v>
      </c>
      <c r="H207" t="s">
        <v>37</v>
      </c>
      <c r="I207">
        <v>10</v>
      </c>
      <c r="J207" t="s">
        <v>18</v>
      </c>
      <c r="K207" s="8" t="s">
        <v>15</v>
      </c>
      <c r="L207" t="str">
        <f>IF(Table1[[#This Row],[Age]]&lt;25,"Under 25",IF(Table1[[#This Row],[Age]]&lt;35,"25-34",IF(Table1[[#This Row],[Age]]&lt;45,"35-44",IF(Table1[[#This Row],[Age]]&lt;55,"45-54","55+"))))</f>
        <v>45-54</v>
      </c>
    </row>
    <row r="208" spans="1:12" x14ac:dyDescent="0.3">
      <c r="A208" s="8" t="s">
        <v>231</v>
      </c>
      <c r="B208" s="6">
        <v>55</v>
      </c>
      <c r="C208" s="8" t="s">
        <v>17</v>
      </c>
      <c r="D208" s="6">
        <v>51</v>
      </c>
      <c r="E208" s="2">
        <v>4544.45</v>
      </c>
      <c r="F208" s="2">
        <v>238908.82</v>
      </c>
      <c r="G208" s="8" t="s">
        <v>35</v>
      </c>
      <c r="H208" t="s">
        <v>25</v>
      </c>
      <c r="I208">
        <v>7</v>
      </c>
      <c r="J208" t="s">
        <v>22</v>
      </c>
      <c r="K208" s="8" t="s">
        <v>15</v>
      </c>
      <c r="L208" t="str">
        <f>IF(Table1[[#This Row],[Age]]&lt;25,"Under 25",IF(Table1[[#This Row],[Age]]&lt;35,"25-34",IF(Table1[[#This Row],[Age]]&lt;45,"35-44",IF(Table1[[#This Row],[Age]]&lt;55,"45-54","55+"))))</f>
        <v>55+</v>
      </c>
    </row>
    <row r="209" spans="1:12" x14ac:dyDescent="0.3">
      <c r="A209" s="8" t="s">
        <v>232</v>
      </c>
      <c r="B209" s="6">
        <v>55</v>
      </c>
      <c r="C209" s="8" t="s">
        <v>12</v>
      </c>
      <c r="D209" s="6">
        <v>47</v>
      </c>
      <c r="E209" s="2">
        <v>731.1</v>
      </c>
      <c r="F209" s="2">
        <v>33401.89</v>
      </c>
      <c r="G209" s="8" t="s">
        <v>13</v>
      </c>
      <c r="H209" t="s">
        <v>25</v>
      </c>
      <c r="I209">
        <v>6</v>
      </c>
      <c r="J209" t="s">
        <v>18</v>
      </c>
      <c r="K209" s="8" t="s">
        <v>15</v>
      </c>
      <c r="L209" t="str">
        <f>IF(Table1[[#This Row],[Age]]&lt;25,"Under 25",IF(Table1[[#This Row],[Age]]&lt;35,"25-34",IF(Table1[[#This Row],[Age]]&lt;45,"35-44",IF(Table1[[#This Row],[Age]]&lt;55,"45-54","55+"))))</f>
        <v>55+</v>
      </c>
    </row>
    <row r="210" spans="1:12" x14ac:dyDescent="0.3">
      <c r="A210" s="8" t="s">
        <v>233</v>
      </c>
      <c r="B210" s="6">
        <v>33</v>
      </c>
      <c r="C210" s="8" t="s">
        <v>12</v>
      </c>
      <c r="D210" s="6">
        <v>37</v>
      </c>
      <c r="E210" s="2">
        <v>4766.92</v>
      </c>
      <c r="F210" s="2">
        <v>161645.88</v>
      </c>
      <c r="G210" s="8" t="s">
        <v>13</v>
      </c>
      <c r="H210" t="s">
        <v>37</v>
      </c>
      <c r="I210">
        <v>6</v>
      </c>
      <c r="J210" t="s">
        <v>18</v>
      </c>
      <c r="K210" s="8" t="s">
        <v>23</v>
      </c>
      <c r="L210" t="str">
        <f>IF(Table1[[#This Row],[Age]]&lt;25,"Under 25",IF(Table1[[#This Row],[Age]]&lt;35,"25-34",IF(Table1[[#This Row],[Age]]&lt;45,"35-44",IF(Table1[[#This Row],[Age]]&lt;55,"45-54","55+"))))</f>
        <v>25-34</v>
      </c>
    </row>
    <row r="211" spans="1:12" x14ac:dyDescent="0.3">
      <c r="A211" s="8" t="s">
        <v>234</v>
      </c>
      <c r="B211" s="6">
        <v>31</v>
      </c>
      <c r="C211" s="8" t="s">
        <v>17</v>
      </c>
      <c r="D211" s="6">
        <v>33</v>
      </c>
      <c r="E211" s="2">
        <v>3987.38</v>
      </c>
      <c r="F211" s="2">
        <v>136594</v>
      </c>
      <c r="G211" s="8" t="s">
        <v>20</v>
      </c>
      <c r="H211" t="s">
        <v>14</v>
      </c>
      <c r="I211">
        <v>2</v>
      </c>
      <c r="J211" t="s">
        <v>15</v>
      </c>
      <c r="K211" s="8" t="s">
        <v>15</v>
      </c>
      <c r="L211" t="str">
        <f>IF(Table1[[#This Row],[Age]]&lt;25,"Under 25",IF(Table1[[#This Row],[Age]]&lt;35,"25-34",IF(Table1[[#This Row],[Age]]&lt;45,"35-44",IF(Table1[[#This Row],[Age]]&lt;55,"45-54","55+"))))</f>
        <v>25-34</v>
      </c>
    </row>
    <row r="212" spans="1:12" x14ac:dyDescent="0.3">
      <c r="A212" s="8" t="s">
        <v>235</v>
      </c>
      <c r="B212" s="6">
        <v>38</v>
      </c>
      <c r="C212" s="8" t="s">
        <v>17</v>
      </c>
      <c r="D212" s="6">
        <v>34</v>
      </c>
      <c r="E212" s="2">
        <v>2195.71</v>
      </c>
      <c r="F212" s="2">
        <v>77901.81</v>
      </c>
      <c r="G212" s="8" t="s">
        <v>13</v>
      </c>
      <c r="H212" t="s">
        <v>25</v>
      </c>
      <c r="I212">
        <v>5</v>
      </c>
      <c r="J212" t="s">
        <v>15</v>
      </c>
      <c r="K212" s="8" t="s">
        <v>23</v>
      </c>
      <c r="L212" t="str">
        <f>IF(Table1[[#This Row],[Age]]&lt;25,"Under 25",IF(Table1[[#This Row],[Age]]&lt;35,"25-34",IF(Table1[[#This Row],[Age]]&lt;45,"35-44",IF(Table1[[#This Row],[Age]]&lt;55,"45-54","55+"))))</f>
        <v>35-44</v>
      </c>
    </row>
    <row r="213" spans="1:12" x14ac:dyDescent="0.3">
      <c r="A213" s="8" t="s">
        <v>236</v>
      </c>
      <c r="B213" s="6">
        <v>64</v>
      </c>
      <c r="C213" s="8" t="s">
        <v>17</v>
      </c>
      <c r="D213" s="6">
        <v>40</v>
      </c>
      <c r="E213" s="2">
        <v>2678.81</v>
      </c>
      <c r="F213" s="2">
        <v>111824.31</v>
      </c>
      <c r="G213" s="8" t="s">
        <v>13</v>
      </c>
      <c r="H213" t="s">
        <v>37</v>
      </c>
      <c r="I213">
        <v>3</v>
      </c>
      <c r="J213" t="s">
        <v>22</v>
      </c>
      <c r="K213" s="8" t="s">
        <v>15</v>
      </c>
      <c r="L213" t="str">
        <f>IF(Table1[[#This Row],[Age]]&lt;25,"Under 25",IF(Table1[[#This Row],[Age]]&lt;35,"25-34",IF(Table1[[#This Row],[Age]]&lt;45,"35-44",IF(Table1[[#This Row],[Age]]&lt;55,"45-54","55+"))))</f>
        <v>55+</v>
      </c>
    </row>
    <row r="214" spans="1:12" x14ac:dyDescent="0.3">
      <c r="A214" s="8" t="s">
        <v>237</v>
      </c>
      <c r="B214" s="6">
        <v>63</v>
      </c>
      <c r="C214" s="8" t="s">
        <v>12</v>
      </c>
      <c r="D214" s="6">
        <v>45</v>
      </c>
      <c r="E214" s="2">
        <v>3672.45</v>
      </c>
      <c r="F214" s="2">
        <v>156593.35999999999</v>
      </c>
      <c r="G214" s="8" t="s">
        <v>13</v>
      </c>
      <c r="H214" t="s">
        <v>37</v>
      </c>
      <c r="I214">
        <v>4</v>
      </c>
      <c r="J214" t="s">
        <v>18</v>
      </c>
      <c r="K214" s="8" t="s">
        <v>15</v>
      </c>
      <c r="L214" t="str">
        <f>IF(Table1[[#This Row],[Age]]&lt;25,"Under 25",IF(Table1[[#This Row],[Age]]&lt;35,"25-34",IF(Table1[[#This Row],[Age]]&lt;45,"35-44",IF(Table1[[#This Row],[Age]]&lt;55,"45-54","55+"))))</f>
        <v>55+</v>
      </c>
    </row>
    <row r="215" spans="1:12" x14ac:dyDescent="0.3">
      <c r="A215" s="8" t="s">
        <v>238</v>
      </c>
      <c r="B215" s="6">
        <v>52</v>
      </c>
      <c r="C215" s="8" t="s">
        <v>17</v>
      </c>
      <c r="D215" s="6">
        <v>58</v>
      </c>
      <c r="E215" s="2">
        <v>4910.72</v>
      </c>
      <c r="F215" s="2">
        <v>291303.34000000003</v>
      </c>
      <c r="G215" s="8" t="s">
        <v>20</v>
      </c>
      <c r="H215" t="s">
        <v>21</v>
      </c>
      <c r="I215">
        <v>4</v>
      </c>
      <c r="J215" t="s">
        <v>18</v>
      </c>
      <c r="K215" s="8" t="s">
        <v>23</v>
      </c>
      <c r="L215" t="str">
        <f>IF(Table1[[#This Row],[Age]]&lt;25,"Under 25",IF(Table1[[#This Row],[Age]]&lt;35,"25-34",IF(Table1[[#This Row],[Age]]&lt;45,"35-44",IF(Table1[[#This Row],[Age]]&lt;55,"45-54","55+"))))</f>
        <v>45-54</v>
      </c>
    </row>
    <row r="216" spans="1:12" x14ac:dyDescent="0.3">
      <c r="A216" s="8" t="s">
        <v>239</v>
      </c>
      <c r="B216" s="6">
        <v>63</v>
      </c>
      <c r="C216" s="8" t="s">
        <v>12</v>
      </c>
      <c r="D216" s="6">
        <v>23</v>
      </c>
      <c r="E216" s="2">
        <v>4658.04</v>
      </c>
      <c r="F216" s="2">
        <v>106963.05</v>
      </c>
      <c r="G216" s="8" t="s">
        <v>35</v>
      </c>
      <c r="H216" t="s">
        <v>21</v>
      </c>
      <c r="I216">
        <v>3</v>
      </c>
      <c r="J216" t="s">
        <v>15</v>
      </c>
      <c r="K216" s="8" t="s">
        <v>23</v>
      </c>
      <c r="L216" t="str">
        <f>IF(Table1[[#This Row],[Age]]&lt;25,"Under 25",IF(Table1[[#This Row],[Age]]&lt;35,"25-34",IF(Table1[[#This Row],[Age]]&lt;45,"35-44",IF(Table1[[#This Row],[Age]]&lt;55,"45-54","55+"))))</f>
        <v>55+</v>
      </c>
    </row>
    <row r="217" spans="1:12" x14ac:dyDescent="0.3">
      <c r="A217" s="8" t="s">
        <v>240</v>
      </c>
      <c r="B217" s="6">
        <v>53</v>
      </c>
      <c r="C217" s="8" t="s">
        <v>17</v>
      </c>
      <c r="D217" s="6">
        <v>9</v>
      </c>
      <c r="E217" s="2">
        <v>991.52</v>
      </c>
      <c r="F217" s="2">
        <v>9023.0300000000007</v>
      </c>
      <c r="G217" s="8" t="s">
        <v>13</v>
      </c>
      <c r="H217" t="s">
        <v>14</v>
      </c>
      <c r="I217">
        <v>10</v>
      </c>
      <c r="J217" t="s">
        <v>15</v>
      </c>
      <c r="K217" s="8" t="s">
        <v>23</v>
      </c>
      <c r="L217" t="str">
        <f>IF(Table1[[#This Row],[Age]]&lt;25,"Under 25",IF(Table1[[#This Row],[Age]]&lt;35,"25-34",IF(Table1[[#This Row],[Age]]&lt;45,"35-44",IF(Table1[[#This Row],[Age]]&lt;55,"45-54","55+"))))</f>
        <v>45-54</v>
      </c>
    </row>
    <row r="218" spans="1:12" x14ac:dyDescent="0.3">
      <c r="A218" s="8" t="s">
        <v>241</v>
      </c>
      <c r="B218" s="6">
        <v>32</v>
      </c>
      <c r="C218" s="8" t="s">
        <v>12</v>
      </c>
      <c r="D218" s="6">
        <v>7</v>
      </c>
      <c r="E218" s="2">
        <v>2359.86</v>
      </c>
      <c r="F218" s="2">
        <v>16644.63</v>
      </c>
      <c r="G218" s="8" t="s">
        <v>13</v>
      </c>
      <c r="H218" t="s">
        <v>21</v>
      </c>
      <c r="I218">
        <v>0</v>
      </c>
      <c r="J218" t="s">
        <v>15</v>
      </c>
      <c r="K218" s="8" t="s">
        <v>15</v>
      </c>
      <c r="L218" t="str">
        <f>IF(Table1[[#This Row],[Age]]&lt;25,"Under 25",IF(Table1[[#This Row],[Age]]&lt;35,"25-34",IF(Table1[[#This Row],[Age]]&lt;45,"35-44",IF(Table1[[#This Row],[Age]]&lt;55,"45-54","55+"))))</f>
        <v>25-34</v>
      </c>
    </row>
    <row r="219" spans="1:12" x14ac:dyDescent="0.3">
      <c r="A219" s="8" t="s">
        <v>242</v>
      </c>
      <c r="B219" s="6">
        <v>28</v>
      </c>
      <c r="C219" s="8" t="s">
        <v>17</v>
      </c>
      <c r="D219" s="6">
        <v>42</v>
      </c>
      <c r="E219" s="2">
        <v>4707.6400000000003</v>
      </c>
      <c r="F219" s="2">
        <v>204000.48</v>
      </c>
      <c r="G219" s="8" t="s">
        <v>13</v>
      </c>
      <c r="H219" t="s">
        <v>21</v>
      </c>
      <c r="I219">
        <v>4</v>
      </c>
      <c r="J219" t="s">
        <v>22</v>
      </c>
      <c r="K219" s="8" t="s">
        <v>23</v>
      </c>
      <c r="L219" t="str">
        <f>IF(Table1[[#This Row],[Age]]&lt;25,"Under 25",IF(Table1[[#This Row],[Age]]&lt;35,"25-34",IF(Table1[[#This Row],[Age]]&lt;45,"35-44",IF(Table1[[#This Row],[Age]]&lt;55,"45-54","55+"))))</f>
        <v>25-34</v>
      </c>
    </row>
    <row r="220" spans="1:12" x14ac:dyDescent="0.3">
      <c r="A220" s="8" t="s">
        <v>243</v>
      </c>
      <c r="B220" s="6">
        <v>21</v>
      </c>
      <c r="C220" s="8" t="s">
        <v>12</v>
      </c>
      <c r="D220" s="6">
        <v>42</v>
      </c>
      <c r="E220" s="2">
        <v>3083.6</v>
      </c>
      <c r="F220" s="2">
        <v>126956.31</v>
      </c>
      <c r="G220" s="8" t="s">
        <v>35</v>
      </c>
      <c r="H220" t="s">
        <v>14</v>
      </c>
      <c r="I220">
        <v>2</v>
      </c>
      <c r="J220" t="s">
        <v>22</v>
      </c>
      <c r="K220" s="8" t="s">
        <v>15</v>
      </c>
      <c r="L220" t="str">
        <f>IF(Table1[[#This Row],[Age]]&lt;25,"Under 25",IF(Table1[[#This Row],[Age]]&lt;35,"25-34",IF(Table1[[#This Row],[Age]]&lt;45,"35-44",IF(Table1[[#This Row],[Age]]&lt;55,"45-54","55+"))))</f>
        <v>Under 25</v>
      </c>
    </row>
    <row r="221" spans="1:12" x14ac:dyDescent="0.3">
      <c r="A221" s="8" t="s">
        <v>244</v>
      </c>
      <c r="B221" s="6">
        <v>29</v>
      </c>
      <c r="C221" s="8" t="s">
        <v>12</v>
      </c>
      <c r="D221" s="6">
        <v>54</v>
      </c>
      <c r="E221" s="2">
        <v>2286.48</v>
      </c>
      <c r="F221" s="2">
        <v>120297.68</v>
      </c>
      <c r="G221" s="8" t="s">
        <v>20</v>
      </c>
      <c r="H221" t="s">
        <v>37</v>
      </c>
      <c r="I221">
        <v>0</v>
      </c>
      <c r="J221" t="s">
        <v>18</v>
      </c>
      <c r="K221" s="8" t="s">
        <v>15</v>
      </c>
      <c r="L221" t="str">
        <f>IF(Table1[[#This Row],[Age]]&lt;25,"Under 25",IF(Table1[[#This Row],[Age]]&lt;35,"25-34",IF(Table1[[#This Row],[Age]]&lt;45,"35-44",IF(Table1[[#This Row],[Age]]&lt;55,"45-54","55+"))))</f>
        <v>25-34</v>
      </c>
    </row>
    <row r="222" spans="1:12" x14ac:dyDescent="0.3">
      <c r="A222" s="8" t="s">
        <v>245</v>
      </c>
      <c r="B222" s="6">
        <v>56</v>
      </c>
      <c r="C222" s="8" t="s">
        <v>12</v>
      </c>
      <c r="D222" s="6">
        <v>60</v>
      </c>
      <c r="E222" s="2">
        <v>4923.47</v>
      </c>
      <c r="F222" s="2">
        <v>278476.65999999997</v>
      </c>
      <c r="G222" s="8" t="s">
        <v>20</v>
      </c>
      <c r="H222" t="s">
        <v>25</v>
      </c>
      <c r="I222">
        <v>8</v>
      </c>
      <c r="J222" t="s">
        <v>22</v>
      </c>
      <c r="K222" s="8" t="s">
        <v>15</v>
      </c>
      <c r="L222" t="str">
        <f>IF(Table1[[#This Row],[Age]]&lt;25,"Under 25",IF(Table1[[#This Row],[Age]]&lt;35,"25-34",IF(Table1[[#This Row],[Age]]&lt;45,"35-44",IF(Table1[[#This Row],[Age]]&lt;55,"45-54","55+"))))</f>
        <v>55+</v>
      </c>
    </row>
    <row r="223" spans="1:12" x14ac:dyDescent="0.3">
      <c r="A223" s="8" t="s">
        <v>246</v>
      </c>
      <c r="B223" s="6">
        <v>26</v>
      </c>
      <c r="C223" s="8" t="s">
        <v>17</v>
      </c>
      <c r="D223" s="6">
        <v>18</v>
      </c>
      <c r="E223" s="2">
        <v>1367.65</v>
      </c>
      <c r="F223" s="2">
        <v>22571.9</v>
      </c>
      <c r="G223" s="8" t="s">
        <v>13</v>
      </c>
      <c r="H223" t="s">
        <v>46</v>
      </c>
      <c r="I223">
        <v>10</v>
      </c>
      <c r="J223" t="s">
        <v>22</v>
      </c>
      <c r="K223" s="8" t="s">
        <v>15</v>
      </c>
      <c r="L223" t="str">
        <f>IF(Table1[[#This Row],[Age]]&lt;25,"Under 25",IF(Table1[[#This Row],[Age]]&lt;35,"25-34",IF(Table1[[#This Row],[Age]]&lt;45,"35-44",IF(Table1[[#This Row],[Age]]&lt;55,"45-54","55+"))))</f>
        <v>25-34</v>
      </c>
    </row>
    <row r="224" spans="1:12" x14ac:dyDescent="0.3">
      <c r="A224" s="8" t="s">
        <v>247</v>
      </c>
      <c r="B224" s="6">
        <v>18</v>
      </c>
      <c r="C224" s="8" t="s">
        <v>17</v>
      </c>
      <c r="D224" s="6">
        <v>51</v>
      </c>
      <c r="E224" s="2">
        <v>1827.61</v>
      </c>
      <c r="F224" s="2">
        <v>93316.25</v>
      </c>
      <c r="G224" s="8" t="s">
        <v>13</v>
      </c>
      <c r="H224" t="s">
        <v>25</v>
      </c>
      <c r="I224">
        <v>10</v>
      </c>
      <c r="J224" t="s">
        <v>22</v>
      </c>
      <c r="K224" s="8" t="s">
        <v>15</v>
      </c>
      <c r="L224" t="str">
        <f>IF(Table1[[#This Row],[Age]]&lt;25,"Under 25",IF(Table1[[#This Row],[Age]]&lt;35,"25-34",IF(Table1[[#This Row],[Age]]&lt;45,"35-44",IF(Table1[[#This Row],[Age]]&lt;55,"45-54","55+"))))</f>
        <v>Under 25</v>
      </c>
    </row>
    <row r="225" spans="1:12" x14ac:dyDescent="0.3">
      <c r="A225" s="8" t="s">
        <v>248</v>
      </c>
      <c r="B225" s="6">
        <v>50</v>
      </c>
      <c r="C225" s="8" t="s">
        <v>17</v>
      </c>
      <c r="D225" s="6">
        <v>6</v>
      </c>
      <c r="E225" s="2">
        <v>2303.75</v>
      </c>
      <c r="F225" s="2">
        <v>12638.02</v>
      </c>
      <c r="G225" s="8" t="s">
        <v>20</v>
      </c>
      <c r="H225" t="s">
        <v>46</v>
      </c>
      <c r="I225">
        <v>5</v>
      </c>
      <c r="J225" t="s">
        <v>18</v>
      </c>
      <c r="K225" s="8" t="s">
        <v>23</v>
      </c>
      <c r="L225" t="str">
        <f>IF(Table1[[#This Row],[Age]]&lt;25,"Under 25",IF(Table1[[#This Row],[Age]]&lt;35,"25-34",IF(Table1[[#This Row],[Age]]&lt;45,"35-44",IF(Table1[[#This Row],[Age]]&lt;55,"45-54","55+"))))</f>
        <v>45-54</v>
      </c>
    </row>
    <row r="226" spans="1:12" x14ac:dyDescent="0.3">
      <c r="A226" s="8" t="s">
        <v>249</v>
      </c>
      <c r="B226" s="6">
        <v>42</v>
      </c>
      <c r="C226" s="8" t="s">
        <v>12</v>
      </c>
      <c r="D226" s="6">
        <v>29</v>
      </c>
      <c r="E226" s="2">
        <v>3891.9</v>
      </c>
      <c r="F226" s="2">
        <v>117730.18</v>
      </c>
      <c r="G226" s="8" t="s">
        <v>13</v>
      </c>
      <c r="H226" t="s">
        <v>25</v>
      </c>
      <c r="I226">
        <v>0</v>
      </c>
      <c r="J226" t="s">
        <v>22</v>
      </c>
      <c r="K226" s="8" t="s">
        <v>15</v>
      </c>
      <c r="L226" t="str">
        <f>IF(Table1[[#This Row],[Age]]&lt;25,"Under 25",IF(Table1[[#This Row],[Age]]&lt;35,"25-34",IF(Table1[[#This Row],[Age]]&lt;45,"35-44",IF(Table1[[#This Row],[Age]]&lt;55,"45-54","55+"))))</f>
        <v>35-44</v>
      </c>
    </row>
    <row r="227" spans="1:12" x14ac:dyDescent="0.3">
      <c r="A227" s="8" t="s">
        <v>250</v>
      </c>
      <c r="B227" s="6">
        <v>62</v>
      </c>
      <c r="C227" s="8" t="s">
        <v>12</v>
      </c>
      <c r="D227" s="6">
        <v>4</v>
      </c>
      <c r="E227" s="2">
        <v>3505.04</v>
      </c>
      <c r="F227" s="2">
        <v>13596.88</v>
      </c>
      <c r="G227" s="8" t="s">
        <v>13</v>
      </c>
      <c r="H227" t="s">
        <v>25</v>
      </c>
      <c r="I227">
        <v>4</v>
      </c>
      <c r="J227" t="s">
        <v>15</v>
      </c>
      <c r="K227" s="8" t="s">
        <v>23</v>
      </c>
      <c r="L227" t="str">
        <f>IF(Table1[[#This Row],[Age]]&lt;25,"Under 25",IF(Table1[[#This Row],[Age]]&lt;35,"25-34",IF(Table1[[#This Row],[Age]]&lt;45,"35-44",IF(Table1[[#This Row],[Age]]&lt;55,"45-54","55+"))))</f>
        <v>55+</v>
      </c>
    </row>
    <row r="228" spans="1:12" x14ac:dyDescent="0.3">
      <c r="A228" s="8" t="s">
        <v>251</v>
      </c>
      <c r="B228" s="6">
        <v>36</v>
      </c>
      <c r="C228" s="8" t="s">
        <v>17</v>
      </c>
      <c r="D228" s="6">
        <v>40</v>
      </c>
      <c r="E228" s="2">
        <v>1493.82</v>
      </c>
      <c r="F228" s="2">
        <v>62358.27</v>
      </c>
      <c r="G228" s="8" t="s">
        <v>13</v>
      </c>
      <c r="H228" t="s">
        <v>46</v>
      </c>
      <c r="I228">
        <v>9</v>
      </c>
      <c r="J228" t="s">
        <v>22</v>
      </c>
      <c r="K228" s="8" t="s">
        <v>23</v>
      </c>
      <c r="L228" t="str">
        <f>IF(Table1[[#This Row],[Age]]&lt;25,"Under 25",IF(Table1[[#This Row],[Age]]&lt;35,"25-34",IF(Table1[[#This Row],[Age]]&lt;45,"35-44",IF(Table1[[#This Row],[Age]]&lt;55,"45-54","55+"))))</f>
        <v>35-44</v>
      </c>
    </row>
    <row r="229" spans="1:12" x14ac:dyDescent="0.3">
      <c r="A229" s="8" t="s">
        <v>252</v>
      </c>
      <c r="B229" s="6">
        <v>53</v>
      </c>
      <c r="C229" s="8" t="s">
        <v>17</v>
      </c>
      <c r="D229" s="6">
        <v>49</v>
      </c>
      <c r="E229" s="2">
        <v>2918.83</v>
      </c>
      <c r="F229" s="2">
        <v>142967.49</v>
      </c>
      <c r="G229" s="8" t="s">
        <v>13</v>
      </c>
      <c r="H229" t="s">
        <v>21</v>
      </c>
      <c r="I229">
        <v>10</v>
      </c>
      <c r="J229" t="s">
        <v>15</v>
      </c>
      <c r="K229" s="8" t="s">
        <v>15</v>
      </c>
      <c r="L229" t="str">
        <f>IF(Table1[[#This Row],[Age]]&lt;25,"Under 25",IF(Table1[[#This Row],[Age]]&lt;35,"25-34",IF(Table1[[#This Row],[Age]]&lt;45,"35-44",IF(Table1[[#This Row],[Age]]&lt;55,"45-54","55+"))))</f>
        <v>45-54</v>
      </c>
    </row>
    <row r="230" spans="1:12" x14ac:dyDescent="0.3">
      <c r="A230" s="8" t="s">
        <v>253</v>
      </c>
      <c r="B230" s="6">
        <v>23</v>
      </c>
      <c r="C230" s="8" t="s">
        <v>17</v>
      </c>
      <c r="D230" s="6">
        <v>34</v>
      </c>
      <c r="E230" s="2">
        <v>3666.95</v>
      </c>
      <c r="F230" s="2">
        <v>113669.3</v>
      </c>
      <c r="G230" s="8" t="s">
        <v>35</v>
      </c>
      <c r="H230" t="s">
        <v>14</v>
      </c>
      <c r="I230">
        <v>8</v>
      </c>
      <c r="J230" t="s">
        <v>15</v>
      </c>
      <c r="K230" s="8" t="s">
        <v>23</v>
      </c>
      <c r="L230" t="str">
        <f>IF(Table1[[#This Row],[Age]]&lt;25,"Under 25",IF(Table1[[#This Row],[Age]]&lt;35,"25-34",IF(Table1[[#This Row],[Age]]&lt;45,"35-44",IF(Table1[[#This Row],[Age]]&lt;55,"45-54","55+"))))</f>
        <v>Under 25</v>
      </c>
    </row>
    <row r="231" spans="1:12" x14ac:dyDescent="0.3">
      <c r="A231" s="8" t="s">
        <v>254</v>
      </c>
      <c r="B231" s="6">
        <v>52</v>
      </c>
      <c r="C231" s="8" t="s">
        <v>12</v>
      </c>
      <c r="D231" s="6">
        <v>11</v>
      </c>
      <c r="E231" s="2">
        <v>1976.53</v>
      </c>
      <c r="F231" s="2">
        <v>21264.62</v>
      </c>
      <c r="G231" s="8" t="s">
        <v>13</v>
      </c>
      <c r="H231" t="s">
        <v>21</v>
      </c>
      <c r="I231">
        <v>9</v>
      </c>
      <c r="J231" t="s">
        <v>22</v>
      </c>
      <c r="K231" s="8" t="s">
        <v>23</v>
      </c>
      <c r="L231" t="str">
        <f>IF(Table1[[#This Row],[Age]]&lt;25,"Under 25",IF(Table1[[#This Row],[Age]]&lt;35,"25-34",IF(Table1[[#This Row],[Age]]&lt;45,"35-44",IF(Table1[[#This Row],[Age]]&lt;55,"45-54","55+"))))</f>
        <v>45-54</v>
      </c>
    </row>
    <row r="232" spans="1:12" x14ac:dyDescent="0.3">
      <c r="A232" s="8" t="s">
        <v>255</v>
      </c>
      <c r="B232" s="6">
        <v>50</v>
      </c>
      <c r="C232" s="8" t="s">
        <v>17</v>
      </c>
      <c r="D232" s="6">
        <v>52</v>
      </c>
      <c r="E232" s="2">
        <v>750.36</v>
      </c>
      <c r="F232" s="2">
        <v>35889.089999999997</v>
      </c>
      <c r="G232" s="8" t="s">
        <v>13</v>
      </c>
      <c r="H232" t="s">
        <v>25</v>
      </c>
      <c r="I232">
        <v>0</v>
      </c>
      <c r="J232" t="s">
        <v>15</v>
      </c>
      <c r="K232" s="8" t="s">
        <v>15</v>
      </c>
      <c r="L232" t="str">
        <f>IF(Table1[[#This Row],[Age]]&lt;25,"Under 25",IF(Table1[[#This Row],[Age]]&lt;35,"25-34",IF(Table1[[#This Row],[Age]]&lt;45,"35-44",IF(Table1[[#This Row],[Age]]&lt;55,"45-54","55+"))))</f>
        <v>45-54</v>
      </c>
    </row>
    <row r="233" spans="1:12" x14ac:dyDescent="0.3">
      <c r="A233" s="8" t="s">
        <v>256</v>
      </c>
      <c r="B233" s="6">
        <v>37</v>
      </c>
      <c r="C233" s="8" t="s">
        <v>12</v>
      </c>
      <c r="D233" s="6">
        <v>26</v>
      </c>
      <c r="E233" s="2">
        <v>1645.06</v>
      </c>
      <c r="F233" s="2">
        <v>38513.75</v>
      </c>
      <c r="G233" s="8" t="s">
        <v>13</v>
      </c>
      <c r="H233" t="s">
        <v>14</v>
      </c>
      <c r="I233">
        <v>0</v>
      </c>
      <c r="J233" t="s">
        <v>22</v>
      </c>
      <c r="K233" s="8" t="s">
        <v>15</v>
      </c>
      <c r="L233" t="str">
        <f>IF(Table1[[#This Row],[Age]]&lt;25,"Under 25",IF(Table1[[#This Row],[Age]]&lt;35,"25-34",IF(Table1[[#This Row],[Age]]&lt;45,"35-44",IF(Table1[[#This Row],[Age]]&lt;55,"45-54","55+"))))</f>
        <v>35-44</v>
      </c>
    </row>
    <row r="234" spans="1:12" x14ac:dyDescent="0.3">
      <c r="A234" s="8" t="s">
        <v>257</v>
      </c>
      <c r="B234" s="6">
        <v>22</v>
      </c>
      <c r="C234" s="8" t="s">
        <v>12</v>
      </c>
      <c r="D234" s="6">
        <v>60</v>
      </c>
      <c r="E234" s="2">
        <v>4523.9799999999996</v>
      </c>
      <c r="F234" s="2">
        <v>284446.31</v>
      </c>
      <c r="G234" s="8" t="s">
        <v>13</v>
      </c>
      <c r="H234" t="s">
        <v>37</v>
      </c>
      <c r="I234">
        <v>6</v>
      </c>
      <c r="J234" t="s">
        <v>18</v>
      </c>
      <c r="K234" s="8" t="s">
        <v>15</v>
      </c>
      <c r="L234" t="str">
        <f>IF(Table1[[#This Row],[Age]]&lt;25,"Under 25",IF(Table1[[#This Row],[Age]]&lt;35,"25-34",IF(Table1[[#This Row],[Age]]&lt;45,"35-44",IF(Table1[[#This Row],[Age]]&lt;55,"45-54","55+"))))</f>
        <v>Under 25</v>
      </c>
    </row>
    <row r="235" spans="1:12" x14ac:dyDescent="0.3">
      <c r="A235" s="8" t="s">
        <v>258</v>
      </c>
      <c r="B235" s="6">
        <v>59</v>
      </c>
      <c r="C235" s="8" t="s">
        <v>17</v>
      </c>
      <c r="D235" s="6">
        <v>24</v>
      </c>
      <c r="E235" s="2">
        <v>4967.8500000000004</v>
      </c>
      <c r="F235" s="2">
        <v>114145.92</v>
      </c>
      <c r="G235" s="8" t="s">
        <v>20</v>
      </c>
      <c r="H235" t="s">
        <v>46</v>
      </c>
      <c r="I235">
        <v>6</v>
      </c>
      <c r="J235" t="s">
        <v>18</v>
      </c>
      <c r="K235" s="8" t="s">
        <v>15</v>
      </c>
      <c r="L235" t="str">
        <f>IF(Table1[[#This Row],[Age]]&lt;25,"Under 25",IF(Table1[[#This Row],[Age]]&lt;35,"25-34",IF(Table1[[#This Row],[Age]]&lt;45,"35-44",IF(Table1[[#This Row],[Age]]&lt;55,"45-54","55+"))))</f>
        <v>55+</v>
      </c>
    </row>
    <row r="236" spans="1:12" x14ac:dyDescent="0.3">
      <c r="A236" s="8" t="s">
        <v>259</v>
      </c>
      <c r="B236" s="6">
        <v>60</v>
      </c>
      <c r="C236" s="8" t="s">
        <v>12</v>
      </c>
      <c r="D236" s="6">
        <v>42</v>
      </c>
      <c r="E236" s="2">
        <v>4371.29</v>
      </c>
      <c r="F236" s="2">
        <v>168501.82</v>
      </c>
      <c r="G236" s="8" t="s">
        <v>20</v>
      </c>
      <c r="H236" t="s">
        <v>46</v>
      </c>
      <c r="I236">
        <v>8</v>
      </c>
      <c r="J236" t="s">
        <v>18</v>
      </c>
      <c r="K236" s="8" t="s">
        <v>15</v>
      </c>
      <c r="L236" t="str">
        <f>IF(Table1[[#This Row],[Age]]&lt;25,"Under 25",IF(Table1[[#This Row],[Age]]&lt;35,"25-34",IF(Table1[[#This Row],[Age]]&lt;45,"35-44",IF(Table1[[#This Row],[Age]]&lt;55,"45-54","55+"))))</f>
        <v>55+</v>
      </c>
    </row>
    <row r="237" spans="1:12" x14ac:dyDescent="0.3">
      <c r="A237" s="8" t="s">
        <v>260</v>
      </c>
      <c r="B237" s="6">
        <v>32</v>
      </c>
      <c r="C237" s="8" t="s">
        <v>12</v>
      </c>
      <c r="D237" s="6">
        <v>49</v>
      </c>
      <c r="E237" s="2">
        <v>602.30999999999995</v>
      </c>
      <c r="F237" s="2">
        <v>27882.720000000001</v>
      </c>
      <c r="G237" s="8" t="s">
        <v>35</v>
      </c>
      <c r="H237" t="s">
        <v>25</v>
      </c>
      <c r="I237">
        <v>6</v>
      </c>
      <c r="J237" t="s">
        <v>15</v>
      </c>
      <c r="K237" s="8" t="s">
        <v>15</v>
      </c>
      <c r="L237" t="str">
        <f>IF(Table1[[#This Row],[Age]]&lt;25,"Under 25",IF(Table1[[#This Row],[Age]]&lt;35,"25-34",IF(Table1[[#This Row],[Age]]&lt;45,"35-44",IF(Table1[[#This Row],[Age]]&lt;55,"45-54","55+"))))</f>
        <v>25-34</v>
      </c>
    </row>
    <row r="238" spans="1:12" x14ac:dyDescent="0.3">
      <c r="A238" s="8" t="s">
        <v>261</v>
      </c>
      <c r="B238" s="6">
        <v>32</v>
      </c>
      <c r="C238" s="8" t="s">
        <v>12</v>
      </c>
      <c r="D238" s="6">
        <v>30</v>
      </c>
      <c r="E238" s="2">
        <v>2057.7199999999998</v>
      </c>
      <c r="F238" s="2">
        <v>58110.879999999997</v>
      </c>
      <c r="G238" s="8" t="s">
        <v>20</v>
      </c>
      <c r="H238" t="s">
        <v>14</v>
      </c>
      <c r="I238">
        <v>0</v>
      </c>
      <c r="J238" t="s">
        <v>15</v>
      </c>
      <c r="K238" s="8" t="s">
        <v>15</v>
      </c>
      <c r="L238" t="str">
        <f>IF(Table1[[#This Row],[Age]]&lt;25,"Under 25",IF(Table1[[#This Row],[Age]]&lt;35,"25-34",IF(Table1[[#This Row],[Age]]&lt;45,"35-44",IF(Table1[[#This Row],[Age]]&lt;55,"45-54","55+"))))</f>
        <v>25-34</v>
      </c>
    </row>
    <row r="239" spans="1:12" x14ac:dyDescent="0.3">
      <c r="A239" s="8" t="s">
        <v>262</v>
      </c>
      <c r="B239" s="6">
        <v>19</v>
      </c>
      <c r="C239" s="8" t="s">
        <v>12</v>
      </c>
      <c r="D239" s="6">
        <v>14</v>
      </c>
      <c r="E239" s="2">
        <v>802.81</v>
      </c>
      <c r="F239" s="2">
        <v>11116.74</v>
      </c>
      <c r="G239" s="8" t="s">
        <v>13</v>
      </c>
      <c r="H239" t="s">
        <v>14</v>
      </c>
      <c r="I239">
        <v>3</v>
      </c>
      <c r="J239" t="s">
        <v>15</v>
      </c>
      <c r="K239" s="8" t="s">
        <v>23</v>
      </c>
      <c r="L239" t="str">
        <f>IF(Table1[[#This Row],[Age]]&lt;25,"Under 25",IF(Table1[[#This Row],[Age]]&lt;35,"25-34",IF(Table1[[#This Row],[Age]]&lt;45,"35-44",IF(Table1[[#This Row],[Age]]&lt;55,"45-54","55+"))))</f>
        <v>Under 25</v>
      </c>
    </row>
    <row r="240" spans="1:12" x14ac:dyDescent="0.3">
      <c r="A240" s="8" t="s">
        <v>263</v>
      </c>
      <c r="B240" s="6">
        <v>46</v>
      </c>
      <c r="C240" s="8" t="s">
        <v>12</v>
      </c>
      <c r="D240" s="6">
        <v>35</v>
      </c>
      <c r="E240" s="2">
        <v>1477.71</v>
      </c>
      <c r="F240" s="2">
        <v>53248.66</v>
      </c>
      <c r="G240" s="8" t="s">
        <v>13</v>
      </c>
      <c r="H240" t="s">
        <v>25</v>
      </c>
      <c r="I240">
        <v>4</v>
      </c>
      <c r="J240" t="s">
        <v>18</v>
      </c>
      <c r="K240" s="8" t="s">
        <v>15</v>
      </c>
      <c r="L240" t="str">
        <f>IF(Table1[[#This Row],[Age]]&lt;25,"Under 25",IF(Table1[[#This Row],[Age]]&lt;35,"25-34",IF(Table1[[#This Row],[Age]]&lt;45,"35-44",IF(Table1[[#This Row],[Age]]&lt;55,"45-54","55+"))))</f>
        <v>45-54</v>
      </c>
    </row>
    <row r="241" spans="1:12" x14ac:dyDescent="0.3">
      <c r="A241" s="8" t="s">
        <v>264</v>
      </c>
      <c r="B241" s="6">
        <v>64</v>
      </c>
      <c r="C241" s="8" t="s">
        <v>17</v>
      </c>
      <c r="D241" s="6">
        <v>37</v>
      </c>
      <c r="E241" s="2">
        <v>3190.63</v>
      </c>
      <c r="F241" s="2">
        <v>118157.17</v>
      </c>
      <c r="G241" s="8" t="s">
        <v>13</v>
      </c>
      <c r="H241" t="s">
        <v>37</v>
      </c>
      <c r="I241">
        <v>2</v>
      </c>
      <c r="J241" t="s">
        <v>15</v>
      </c>
      <c r="K241" s="8" t="s">
        <v>15</v>
      </c>
      <c r="L241" t="str">
        <f>IF(Table1[[#This Row],[Age]]&lt;25,"Under 25",IF(Table1[[#This Row],[Age]]&lt;35,"25-34",IF(Table1[[#This Row],[Age]]&lt;45,"35-44",IF(Table1[[#This Row],[Age]]&lt;55,"45-54","55+"))))</f>
        <v>55+</v>
      </c>
    </row>
    <row r="242" spans="1:12" x14ac:dyDescent="0.3">
      <c r="A242" s="8" t="s">
        <v>265</v>
      </c>
      <c r="B242" s="6">
        <v>44</v>
      </c>
      <c r="C242" s="8" t="s">
        <v>17</v>
      </c>
      <c r="D242" s="6">
        <v>18</v>
      </c>
      <c r="E242" s="2">
        <v>774.31</v>
      </c>
      <c r="F242" s="2">
        <v>14526.83</v>
      </c>
      <c r="G242" s="8" t="s">
        <v>20</v>
      </c>
      <c r="H242" t="s">
        <v>21</v>
      </c>
      <c r="I242">
        <v>10</v>
      </c>
      <c r="J242" t="s">
        <v>15</v>
      </c>
      <c r="K242" s="8" t="s">
        <v>15</v>
      </c>
      <c r="L242" t="str">
        <f>IF(Table1[[#This Row],[Age]]&lt;25,"Under 25",IF(Table1[[#This Row],[Age]]&lt;35,"25-34",IF(Table1[[#This Row],[Age]]&lt;45,"35-44",IF(Table1[[#This Row],[Age]]&lt;55,"45-54","55+"))))</f>
        <v>35-44</v>
      </c>
    </row>
    <row r="243" spans="1:12" x14ac:dyDescent="0.3">
      <c r="A243" s="8" t="s">
        <v>266</v>
      </c>
      <c r="B243" s="6">
        <v>49</v>
      </c>
      <c r="C243" s="8" t="s">
        <v>12</v>
      </c>
      <c r="D243" s="6">
        <v>23</v>
      </c>
      <c r="E243" s="2">
        <v>4737.1400000000003</v>
      </c>
      <c r="F243" s="2">
        <v>109030.64</v>
      </c>
      <c r="G243" s="8" t="s">
        <v>35</v>
      </c>
      <c r="H243" t="s">
        <v>37</v>
      </c>
      <c r="I243">
        <v>6</v>
      </c>
      <c r="J243" t="s">
        <v>22</v>
      </c>
      <c r="K243" s="8" t="s">
        <v>23</v>
      </c>
      <c r="L243" t="str">
        <f>IF(Table1[[#This Row],[Age]]&lt;25,"Under 25",IF(Table1[[#This Row],[Age]]&lt;35,"25-34",IF(Table1[[#This Row],[Age]]&lt;45,"35-44",IF(Table1[[#This Row],[Age]]&lt;55,"45-54","55+"))))</f>
        <v>45-54</v>
      </c>
    </row>
    <row r="244" spans="1:12" x14ac:dyDescent="0.3">
      <c r="A244" s="8" t="s">
        <v>267</v>
      </c>
      <c r="B244" s="6">
        <v>42</v>
      </c>
      <c r="C244" s="8" t="s">
        <v>12</v>
      </c>
      <c r="D244" s="6">
        <v>49</v>
      </c>
      <c r="E244" s="2">
        <v>2920.68</v>
      </c>
      <c r="F244" s="2">
        <v>133974.85</v>
      </c>
      <c r="G244" s="8" t="s">
        <v>13</v>
      </c>
      <c r="H244" t="s">
        <v>21</v>
      </c>
      <c r="I244">
        <v>7</v>
      </c>
      <c r="J244" t="s">
        <v>18</v>
      </c>
      <c r="K244" s="8" t="s">
        <v>15</v>
      </c>
      <c r="L244" t="str">
        <f>IF(Table1[[#This Row],[Age]]&lt;25,"Under 25",IF(Table1[[#This Row],[Age]]&lt;35,"25-34",IF(Table1[[#This Row],[Age]]&lt;45,"35-44",IF(Table1[[#This Row],[Age]]&lt;55,"45-54","55+"))))</f>
        <v>35-44</v>
      </c>
    </row>
    <row r="245" spans="1:12" x14ac:dyDescent="0.3">
      <c r="A245" s="8" t="s">
        <v>268</v>
      </c>
      <c r="B245" s="6">
        <v>44</v>
      </c>
      <c r="C245" s="8" t="s">
        <v>12</v>
      </c>
      <c r="D245" s="6">
        <v>25</v>
      </c>
      <c r="E245" s="2">
        <v>1592.86</v>
      </c>
      <c r="F245" s="2">
        <v>37053.93</v>
      </c>
      <c r="G245" s="8" t="s">
        <v>35</v>
      </c>
      <c r="H245" t="s">
        <v>46</v>
      </c>
      <c r="I245">
        <v>5</v>
      </c>
      <c r="J245" t="s">
        <v>18</v>
      </c>
      <c r="K245" s="8" t="s">
        <v>15</v>
      </c>
      <c r="L245" t="str">
        <f>IF(Table1[[#This Row],[Age]]&lt;25,"Under 25",IF(Table1[[#This Row],[Age]]&lt;35,"25-34",IF(Table1[[#This Row],[Age]]&lt;45,"35-44",IF(Table1[[#This Row],[Age]]&lt;55,"45-54","55+"))))</f>
        <v>35-44</v>
      </c>
    </row>
    <row r="246" spans="1:12" x14ac:dyDescent="0.3">
      <c r="A246" s="8" t="s">
        <v>269</v>
      </c>
      <c r="B246" s="6">
        <v>30</v>
      </c>
      <c r="C246" s="8" t="s">
        <v>12</v>
      </c>
      <c r="D246" s="6">
        <v>18</v>
      </c>
      <c r="E246" s="2">
        <v>2197.2600000000002</v>
      </c>
      <c r="F246" s="2">
        <v>39184.65</v>
      </c>
      <c r="G246" s="8" t="s">
        <v>13</v>
      </c>
      <c r="H246" t="s">
        <v>14</v>
      </c>
      <c r="I246">
        <v>3</v>
      </c>
      <c r="J246" t="s">
        <v>15</v>
      </c>
      <c r="K246" s="8" t="s">
        <v>15</v>
      </c>
      <c r="L246" t="str">
        <f>IF(Table1[[#This Row],[Age]]&lt;25,"Under 25",IF(Table1[[#This Row],[Age]]&lt;35,"25-34",IF(Table1[[#This Row],[Age]]&lt;45,"35-44",IF(Table1[[#This Row],[Age]]&lt;55,"45-54","55+"))))</f>
        <v>25-34</v>
      </c>
    </row>
    <row r="247" spans="1:12" x14ac:dyDescent="0.3">
      <c r="A247" s="8" t="s">
        <v>270</v>
      </c>
      <c r="B247" s="6">
        <v>53</v>
      </c>
      <c r="C247" s="8" t="s">
        <v>12</v>
      </c>
      <c r="D247" s="6">
        <v>31</v>
      </c>
      <c r="E247" s="2">
        <v>1440</v>
      </c>
      <c r="F247" s="2">
        <v>46249.49</v>
      </c>
      <c r="G247" s="8" t="s">
        <v>13</v>
      </c>
      <c r="H247" t="s">
        <v>14</v>
      </c>
      <c r="I247">
        <v>3</v>
      </c>
      <c r="J247" t="s">
        <v>18</v>
      </c>
      <c r="K247" s="8" t="s">
        <v>15</v>
      </c>
      <c r="L247" t="str">
        <f>IF(Table1[[#This Row],[Age]]&lt;25,"Under 25",IF(Table1[[#This Row],[Age]]&lt;35,"25-34",IF(Table1[[#This Row],[Age]]&lt;45,"35-44",IF(Table1[[#This Row],[Age]]&lt;55,"45-54","55+"))))</f>
        <v>45-54</v>
      </c>
    </row>
    <row r="248" spans="1:12" x14ac:dyDescent="0.3">
      <c r="A248" s="8" t="s">
        <v>271</v>
      </c>
      <c r="B248" s="6">
        <v>25</v>
      </c>
      <c r="C248" s="8" t="s">
        <v>17</v>
      </c>
      <c r="D248" s="6">
        <v>59</v>
      </c>
      <c r="E248" s="2">
        <v>1591.67</v>
      </c>
      <c r="F248" s="2">
        <v>93031.45</v>
      </c>
      <c r="G248" s="8" t="s">
        <v>13</v>
      </c>
      <c r="H248" t="s">
        <v>21</v>
      </c>
      <c r="I248">
        <v>8</v>
      </c>
      <c r="J248" t="s">
        <v>22</v>
      </c>
      <c r="K248" s="8" t="s">
        <v>15</v>
      </c>
      <c r="L248" t="str">
        <f>IF(Table1[[#This Row],[Age]]&lt;25,"Under 25",IF(Table1[[#This Row],[Age]]&lt;35,"25-34",IF(Table1[[#This Row],[Age]]&lt;45,"35-44",IF(Table1[[#This Row],[Age]]&lt;55,"45-54","55+"))))</f>
        <v>25-34</v>
      </c>
    </row>
    <row r="249" spans="1:12" x14ac:dyDescent="0.3">
      <c r="A249" s="8" t="s">
        <v>272</v>
      </c>
      <c r="B249" s="6">
        <v>42</v>
      </c>
      <c r="C249" s="8" t="s">
        <v>17</v>
      </c>
      <c r="D249" s="6">
        <v>35</v>
      </c>
      <c r="E249" s="2">
        <v>3419.25</v>
      </c>
      <c r="F249" s="2">
        <v>113242.88</v>
      </c>
      <c r="G249" s="8" t="s">
        <v>13</v>
      </c>
      <c r="H249" t="s">
        <v>46</v>
      </c>
      <c r="I249">
        <v>7</v>
      </c>
      <c r="J249" t="s">
        <v>18</v>
      </c>
      <c r="K249" s="8" t="s">
        <v>15</v>
      </c>
      <c r="L249" t="str">
        <f>IF(Table1[[#This Row],[Age]]&lt;25,"Under 25",IF(Table1[[#This Row],[Age]]&lt;35,"25-34",IF(Table1[[#This Row],[Age]]&lt;45,"35-44",IF(Table1[[#This Row],[Age]]&lt;55,"45-54","55+"))))</f>
        <v>35-44</v>
      </c>
    </row>
    <row r="250" spans="1:12" x14ac:dyDescent="0.3">
      <c r="A250" s="8" t="s">
        <v>273</v>
      </c>
      <c r="B250" s="6">
        <v>64</v>
      </c>
      <c r="C250" s="8" t="s">
        <v>17</v>
      </c>
      <c r="D250" s="6">
        <v>49</v>
      </c>
      <c r="E250" s="2">
        <v>4278.79</v>
      </c>
      <c r="F250" s="2">
        <v>217449.52</v>
      </c>
      <c r="G250" s="8" t="s">
        <v>13</v>
      </c>
      <c r="H250" t="s">
        <v>46</v>
      </c>
      <c r="I250">
        <v>0</v>
      </c>
      <c r="J250" t="s">
        <v>15</v>
      </c>
      <c r="K250" s="8" t="s">
        <v>15</v>
      </c>
      <c r="L250" t="str">
        <f>IF(Table1[[#This Row],[Age]]&lt;25,"Under 25",IF(Table1[[#This Row],[Age]]&lt;35,"25-34",IF(Table1[[#This Row],[Age]]&lt;45,"35-44",IF(Table1[[#This Row],[Age]]&lt;55,"45-54","55+"))))</f>
        <v>55+</v>
      </c>
    </row>
    <row r="251" spans="1:12" x14ac:dyDescent="0.3">
      <c r="A251" s="8" t="s">
        <v>274</v>
      </c>
      <c r="B251" s="6">
        <v>65</v>
      </c>
      <c r="C251" s="8" t="s">
        <v>12</v>
      </c>
      <c r="D251" s="6">
        <v>2</v>
      </c>
      <c r="E251" s="2">
        <v>1673.48</v>
      </c>
      <c r="F251" s="2">
        <v>3481.55</v>
      </c>
      <c r="G251" s="8" t="s">
        <v>35</v>
      </c>
      <c r="H251" t="s">
        <v>46</v>
      </c>
      <c r="I251">
        <v>4</v>
      </c>
      <c r="J251" t="s">
        <v>18</v>
      </c>
      <c r="K251" s="8" t="s">
        <v>23</v>
      </c>
      <c r="L251" t="str">
        <f>IF(Table1[[#This Row],[Age]]&lt;25,"Under 25",IF(Table1[[#This Row],[Age]]&lt;35,"25-34",IF(Table1[[#This Row],[Age]]&lt;45,"35-44",IF(Table1[[#This Row],[Age]]&lt;55,"45-54","55+"))))</f>
        <v>55+</v>
      </c>
    </row>
    <row r="252" spans="1:12" x14ac:dyDescent="0.3">
      <c r="A252" s="8" t="s">
        <v>275</v>
      </c>
      <c r="B252" s="6">
        <v>32</v>
      </c>
      <c r="C252" s="8" t="s">
        <v>17</v>
      </c>
      <c r="D252" s="6">
        <v>37</v>
      </c>
      <c r="E252" s="2">
        <v>4250.13</v>
      </c>
      <c r="F252" s="2">
        <v>153306.96</v>
      </c>
      <c r="G252" s="8" t="s">
        <v>35</v>
      </c>
      <c r="H252" t="s">
        <v>37</v>
      </c>
      <c r="I252">
        <v>4</v>
      </c>
      <c r="J252" t="s">
        <v>22</v>
      </c>
      <c r="K252" s="8" t="s">
        <v>15</v>
      </c>
      <c r="L252" t="str">
        <f>IF(Table1[[#This Row],[Age]]&lt;25,"Under 25",IF(Table1[[#This Row],[Age]]&lt;35,"25-34",IF(Table1[[#This Row],[Age]]&lt;45,"35-44",IF(Table1[[#This Row],[Age]]&lt;55,"45-54","55+"))))</f>
        <v>25-34</v>
      </c>
    </row>
    <row r="253" spans="1:12" x14ac:dyDescent="0.3">
      <c r="A253" s="8" t="s">
        <v>276</v>
      </c>
      <c r="B253" s="6">
        <v>59</v>
      </c>
      <c r="C253" s="8" t="s">
        <v>17</v>
      </c>
      <c r="D253" s="6">
        <v>30</v>
      </c>
      <c r="E253" s="2">
        <v>1257.05</v>
      </c>
      <c r="F253" s="2">
        <v>38437.31</v>
      </c>
      <c r="G253" s="8" t="s">
        <v>13</v>
      </c>
      <c r="H253" t="s">
        <v>25</v>
      </c>
      <c r="I253">
        <v>7</v>
      </c>
      <c r="J253" t="s">
        <v>18</v>
      </c>
      <c r="K253" s="8" t="s">
        <v>15</v>
      </c>
      <c r="L253" t="str">
        <f>IF(Table1[[#This Row],[Age]]&lt;25,"Under 25",IF(Table1[[#This Row],[Age]]&lt;35,"25-34",IF(Table1[[#This Row],[Age]]&lt;45,"35-44",IF(Table1[[#This Row],[Age]]&lt;55,"45-54","55+"))))</f>
        <v>55+</v>
      </c>
    </row>
    <row r="254" spans="1:12" x14ac:dyDescent="0.3">
      <c r="A254" s="8" t="s">
        <v>277</v>
      </c>
      <c r="B254" s="6">
        <v>52</v>
      </c>
      <c r="C254" s="8" t="s">
        <v>12</v>
      </c>
      <c r="D254" s="6">
        <v>34</v>
      </c>
      <c r="E254" s="2">
        <v>652.21</v>
      </c>
      <c r="F254" s="2">
        <v>22773.97</v>
      </c>
      <c r="G254" s="8" t="s">
        <v>20</v>
      </c>
      <c r="H254" t="s">
        <v>14</v>
      </c>
      <c r="I254">
        <v>0</v>
      </c>
      <c r="J254" t="s">
        <v>22</v>
      </c>
      <c r="K254" s="8" t="s">
        <v>15</v>
      </c>
      <c r="L254" t="str">
        <f>IF(Table1[[#This Row],[Age]]&lt;25,"Under 25",IF(Table1[[#This Row],[Age]]&lt;35,"25-34",IF(Table1[[#This Row],[Age]]&lt;45,"35-44",IF(Table1[[#This Row],[Age]]&lt;55,"45-54","55+"))))</f>
        <v>45-54</v>
      </c>
    </row>
    <row r="255" spans="1:12" x14ac:dyDescent="0.3">
      <c r="A255" s="8" t="s">
        <v>278</v>
      </c>
      <c r="B255" s="6">
        <v>58</v>
      </c>
      <c r="C255" s="8" t="s">
        <v>12</v>
      </c>
      <c r="D255" s="6">
        <v>5</v>
      </c>
      <c r="E255" s="2">
        <v>3682.26</v>
      </c>
      <c r="F255" s="2">
        <v>16595.419999999998</v>
      </c>
      <c r="G255" s="8" t="s">
        <v>13</v>
      </c>
      <c r="H255" t="s">
        <v>37</v>
      </c>
      <c r="I255">
        <v>0</v>
      </c>
      <c r="J255" t="s">
        <v>15</v>
      </c>
      <c r="K255" s="8" t="s">
        <v>15</v>
      </c>
      <c r="L255" t="str">
        <f>IF(Table1[[#This Row],[Age]]&lt;25,"Under 25",IF(Table1[[#This Row],[Age]]&lt;35,"25-34",IF(Table1[[#This Row],[Age]]&lt;45,"35-44",IF(Table1[[#This Row],[Age]]&lt;55,"45-54","55+"))))</f>
        <v>55+</v>
      </c>
    </row>
    <row r="256" spans="1:12" x14ac:dyDescent="0.3">
      <c r="A256" s="8" t="s">
        <v>279</v>
      </c>
      <c r="B256" s="6">
        <v>57</v>
      </c>
      <c r="C256" s="8" t="s">
        <v>17</v>
      </c>
      <c r="D256" s="6">
        <v>43</v>
      </c>
      <c r="E256" s="2">
        <v>2695.34</v>
      </c>
      <c r="F256" s="2">
        <v>104424.61</v>
      </c>
      <c r="G256" s="8" t="s">
        <v>35</v>
      </c>
      <c r="H256" t="s">
        <v>14</v>
      </c>
      <c r="I256">
        <v>0</v>
      </c>
      <c r="J256" t="s">
        <v>15</v>
      </c>
      <c r="K256" s="8" t="s">
        <v>15</v>
      </c>
      <c r="L256" t="str">
        <f>IF(Table1[[#This Row],[Age]]&lt;25,"Under 25",IF(Table1[[#This Row],[Age]]&lt;35,"25-34",IF(Table1[[#This Row],[Age]]&lt;45,"35-44",IF(Table1[[#This Row],[Age]]&lt;55,"45-54","55+"))))</f>
        <v>55+</v>
      </c>
    </row>
    <row r="257" spans="1:12" x14ac:dyDescent="0.3">
      <c r="A257" s="8" t="s">
        <v>280</v>
      </c>
      <c r="B257" s="6">
        <v>52</v>
      </c>
      <c r="C257" s="8" t="s">
        <v>17</v>
      </c>
      <c r="D257" s="6">
        <v>2</v>
      </c>
      <c r="E257" s="2">
        <v>2759.97</v>
      </c>
      <c r="F257" s="2">
        <v>5545.77</v>
      </c>
      <c r="G257" s="8" t="s">
        <v>13</v>
      </c>
      <c r="H257" t="s">
        <v>21</v>
      </c>
      <c r="I257">
        <v>1</v>
      </c>
      <c r="J257" t="s">
        <v>18</v>
      </c>
      <c r="K257" s="8" t="s">
        <v>15</v>
      </c>
      <c r="L257" t="str">
        <f>IF(Table1[[#This Row],[Age]]&lt;25,"Under 25",IF(Table1[[#This Row],[Age]]&lt;35,"25-34",IF(Table1[[#This Row],[Age]]&lt;45,"35-44",IF(Table1[[#This Row],[Age]]&lt;55,"45-54","55+"))))</f>
        <v>45-54</v>
      </c>
    </row>
    <row r="258" spans="1:12" x14ac:dyDescent="0.3">
      <c r="A258" s="8" t="s">
        <v>281</v>
      </c>
      <c r="B258" s="6">
        <v>33</v>
      </c>
      <c r="C258" s="8" t="s">
        <v>12</v>
      </c>
      <c r="D258" s="6">
        <v>40</v>
      </c>
      <c r="E258" s="2">
        <v>2869.05</v>
      </c>
      <c r="F258" s="2">
        <v>117319.15</v>
      </c>
      <c r="G258" s="8" t="s">
        <v>13</v>
      </c>
      <c r="H258" t="s">
        <v>46</v>
      </c>
      <c r="I258">
        <v>1</v>
      </c>
      <c r="J258" t="s">
        <v>22</v>
      </c>
      <c r="K258" s="8" t="s">
        <v>15</v>
      </c>
      <c r="L258" t="str">
        <f>IF(Table1[[#This Row],[Age]]&lt;25,"Under 25",IF(Table1[[#This Row],[Age]]&lt;35,"25-34",IF(Table1[[#This Row],[Age]]&lt;45,"35-44",IF(Table1[[#This Row],[Age]]&lt;55,"45-54","55+"))))</f>
        <v>25-34</v>
      </c>
    </row>
    <row r="259" spans="1:12" x14ac:dyDescent="0.3">
      <c r="A259" s="8" t="s">
        <v>282</v>
      </c>
      <c r="B259" s="6">
        <v>47</v>
      </c>
      <c r="C259" s="8" t="s">
        <v>12</v>
      </c>
      <c r="D259" s="6">
        <v>45</v>
      </c>
      <c r="E259" s="2">
        <v>1516.36</v>
      </c>
      <c r="F259" s="2">
        <v>68414.039999999994</v>
      </c>
      <c r="G259" s="8" t="s">
        <v>20</v>
      </c>
      <c r="H259" t="s">
        <v>14</v>
      </c>
      <c r="I259">
        <v>1</v>
      </c>
      <c r="J259" t="s">
        <v>22</v>
      </c>
      <c r="K259" s="8" t="s">
        <v>15</v>
      </c>
      <c r="L259" t="str">
        <f>IF(Table1[[#This Row],[Age]]&lt;25,"Under 25",IF(Table1[[#This Row],[Age]]&lt;35,"25-34",IF(Table1[[#This Row],[Age]]&lt;45,"35-44",IF(Table1[[#This Row],[Age]]&lt;55,"45-54","55+"))))</f>
        <v>45-54</v>
      </c>
    </row>
    <row r="260" spans="1:12" x14ac:dyDescent="0.3">
      <c r="A260" s="8" t="s">
        <v>283</v>
      </c>
      <c r="B260" s="6">
        <v>53</v>
      </c>
      <c r="C260" s="8" t="s">
        <v>17</v>
      </c>
      <c r="D260" s="6">
        <v>4</v>
      </c>
      <c r="E260" s="2">
        <v>3365.37</v>
      </c>
      <c r="F260" s="2">
        <v>13534.53</v>
      </c>
      <c r="G260" s="8" t="s">
        <v>13</v>
      </c>
      <c r="H260" t="s">
        <v>46</v>
      </c>
      <c r="I260">
        <v>10</v>
      </c>
      <c r="J260" t="s">
        <v>22</v>
      </c>
      <c r="K260" s="8" t="s">
        <v>23</v>
      </c>
      <c r="L260" t="str">
        <f>IF(Table1[[#This Row],[Age]]&lt;25,"Under 25",IF(Table1[[#This Row],[Age]]&lt;35,"25-34",IF(Table1[[#This Row],[Age]]&lt;45,"35-44",IF(Table1[[#This Row],[Age]]&lt;55,"45-54","55+"))))</f>
        <v>45-54</v>
      </c>
    </row>
    <row r="261" spans="1:12" x14ac:dyDescent="0.3">
      <c r="A261" s="8" t="s">
        <v>284</v>
      </c>
      <c r="B261" s="6">
        <v>24</v>
      </c>
      <c r="C261" s="8" t="s">
        <v>12</v>
      </c>
      <c r="D261" s="6">
        <v>15</v>
      </c>
      <c r="E261" s="2">
        <v>1451.38</v>
      </c>
      <c r="F261" s="2">
        <v>22428.560000000001</v>
      </c>
      <c r="G261" s="8" t="s">
        <v>20</v>
      </c>
      <c r="H261" t="s">
        <v>46</v>
      </c>
      <c r="I261">
        <v>4</v>
      </c>
      <c r="J261" t="s">
        <v>18</v>
      </c>
      <c r="K261" s="8" t="s">
        <v>15</v>
      </c>
      <c r="L261" t="str">
        <f>IF(Table1[[#This Row],[Age]]&lt;25,"Under 25",IF(Table1[[#This Row],[Age]]&lt;35,"25-34",IF(Table1[[#This Row],[Age]]&lt;45,"35-44",IF(Table1[[#This Row],[Age]]&lt;55,"45-54","55+"))))</f>
        <v>Under 25</v>
      </c>
    </row>
    <row r="262" spans="1:12" x14ac:dyDescent="0.3">
      <c r="A262" s="8" t="s">
        <v>285</v>
      </c>
      <c r="B262" s="6">
        <v>61</v>
      </c>
      <c r="C262" s="8" t="s">
        <v>17</v>
      </c>
      <c r="D262" s="6">
        <v>58</v>
      </c>
      <c r="E262" s="2">
        <v>2943.64</v>
      </c>
      <c r="F262" s="2">
        <v>170511.97</v>
      </c>
      <c r="G262" s="8" t="s">
        <v>13</v>
      </c>
      <c r="H262" t="s">
        <v>37</v>
      </c>
      <c r="I262">
        <v>0</v>
      </c>
      <c r="J262" t="s">
        <v>18</v>
      </c>
      <c r="K262" s="8" t="s">
        <v>15</v>
      </c>
      <c r="L262" t="str">
        <f>IF(Table1[[#This Row],[Age]]&lt;25,"Under 25",IF(Table1[[#This Row],[Age]]&lt;35,"25-34",IF(Table1[[#This Row],[Age]]&lt;45,"35-44",IF(Table1[[#This Row],[Age]]&lt;55,"45-54","55+"))))</f>
        <v>55+</v>
      </c>
    </row>
    <row r="263" spans="1:12" x14ac:dyDescent="0.3">
      <c r="A263" s="8" t="s">
        <v>286</v>
      </c>
      <c r="B263" s="6">
        <v>63</v>
      </c>
      <c r="C263" s="8" t="s">
        <v>17</v>
      </c>
      <c r="D263" s="6">
        <v>60</v>
      </c>
      <c r="E263" s="2">
        <v>846.22</v>
      </c>
      <c r="F263" s="2">
        <v>46933.1</v>
      </c>
      <c r="G263" s="8" t="s">
        <v>13</v>
      </c>
      <c r="H263" t="s">
        <v>46</v>
      </c>
      <c r="I263">
        <v>10</v>
      </c>
      <c r="J263" t="s">
        <v>15</v>
      </c>
      <c r="K263" s="8" t="s">
        <v>23</v>
      </c>
      <c r="L263" t="str">
        <f>IF(Table1[[#This Row],[Age]]&lt;25,"Under 25",IF(Table1[[#This Row],[Age]]&lt;35,"25-34",IF(Table1[[#This Row],[Age]]&lt;45,"35-44",IF(Table1[[#This Row],[Age]]&lt;55,"45-54","55+"))))</f>
        <v>55+</v>
      </c>
    </row>
    <row r="264" spans="1:12" x14ac:dyDescent="0.3">
      <c r="A264" s="8" t="s">
        <v>287</v>
      </c>
      <c r="B264" s="6">
        <v>65</v>
      </c>
      <c r="C264" s="8" t="s">
        <v>12</v>
      </c>
      <c r="D264" s="6">
        <v>51</v>
      </c>
      <c r="E264" s="2">
        <v>4948.1499999999996</v>
      </c>
      <c r="F264" s="2">
        <v>254532.1</v>
      </c>
      <c r="G264" s="8" t="s">
        <v>13</v>
      </c>
      <c r="H264" t="s">
        <v>37</v>
      </c>
      <c r="I264">
        <v>0</v>
      </c>
      <c r="J264" t="s">
        <v>18</v>
      </c>
      <c r="K264" s="8" t="s">
        <v>23</v>
      </c>
      <c r="L264" t="str">
        <f>IF(Table1[[#This Row],[Age]]&lt;25,"Under 25",IF(Table1[[#This Row],[Age]]&lt;35,"25-34",IF(Table1[[#This Row],[Age]]&lt;45,"35-44",IF(Table1[[#This Row],[Age]]&lt;55,"45-54","55+"))))</f>
        <v>55+</v>
      </c>
    </row>
    <row r="265" spans="1:12" x14ac:dyDescent="0.3">
      <c r="A265" s="8" t="s">
        <v>288</v>
      </c>
      <c r="B265" s="6">
        <v>22</v>
      </c>
      <c r="C265" s="8" t="s">
        <v>17</v>
      </c>
      <c r="D265" s="6">
        <v>39</v>
      </c>
      <c r="E265" s="2">
        <v>3960.53</v>
      </c>
      <c r="F265" s="2">
        <v>161137.81</v>
      </c>
      <c r="G265" s="8" t="s">
        <v>13</v>
      </c>
      <c r="H265" t="s">
        <v>37</v>
      </c>
      <c r="I265">
        <v>0</v>
      </c>
      <c r="J265" t="s">
        <v>15</v>
      </c>
      <c r="K265" s="8" t="s">
        <v>23</v>
      </c>
      <c r="L265" t="str">
        <f>IF(Table1[[#This Row],[Age]]&lt;25,"Under 25",IF(Table1[[#This Row],[Age]]&lt;35,"25-34",IF(Table1[[#This Row],[Age]]&lt;45,"35-44",IF(Table1[[#This Row],[Age]]&lt;55,"45-54","55+"))))</f>
        <v>Under 25</v>
      </c>
    </row>
    <row r="266" spans="1:12" x14ac:dyDescent="0.3">
      <c r="A266" s="8" t="s">
        <v>289</v>
      </c>
      <c r="B266" s="6">
        <v>46</v>
      </c>
      <c r="C266" s="8" t="s">
        <v>17</v>
      </c>
      <c r="D266" s="6">
        <v>15</v>
      </c>
      <c r="E266" s="2">
        <v>2101.15</v>
      </c>
      <c r="F266" s="2">
        <v>32814.86</v>
      </c>
      <c r="G266" s="8" t="s">
        <v>13</v>
      </c>
      <c r="H266" t="s">
        <v>25</v>
      </c>
      <c r="I266">
        <v>10</v>
      </c>
      <c r="J266" t="s">
        <v>22</v>
      </c>
      <c r="K266" s="8" t="s">
        <v>23</v>
      </c>
      <c r="L266" t="str">
        <f>IF(Table1[[#This Row],[Age]]&lt;25,"Under 25",IF(Table1[[#This Row],[Age]]&lt;35,"25-34",IF(Table1[[#This Row],[Age]]&lt;45,"35-44",IF(Table1[[#This Row],[Age]]&lt;55,"45-54","55+"))))</f>
        <v>45-54</v>
      </c>
    </row>
    <row r="267" spans="1:12" x14ac:dyDescent="0.3">
      <c r="A267" s="8" t="s">
        <v>290</v>
      </c>
      <c r="B267" s="6">
        <v>57</v>
      </c>
      <c r="C267" s="8" t="s">
        <v>17</v>
      </c>
      <c r="D267" s="6">
        <v>52</v>
      </c>
      <c r="E267" s="2">
        <v>1609.02</v>
      </c>
      <c r="F267" s="2">
        <v>76224.67</v>
      </c>
      <c r="G267" s="8" t="s">
        <v>13</v>
      </c>
      <c r="H267" t="s">
        <v>46</v>
      </c>
      <c r="I267">
        <v>10</v>
      </c>
      <c r="J267" t="s">
        <v>18</v>
      </c>
      <c r="K267" s="8" t="s">
        <v>15</v>
      </c>
      <c r="L267" t="str">
        <f>IF(Table1[[#This Row],[Age]]&lt;25,"Under 25",IF(Table1[[#This Row],[Age]]&lt;35,"25-34",IF(Table1[[#This Row],[Age]]&lt;45,"35-44",IF(Table1[[#This Row],[Age]]&lt;55,"45-54","55+"))))</f>
        <v>55+</v>
      </c>
    </row>
    <row r="268" spans="1:12" x14ac:dyDescent="0.3">
      <c r="A268" s="8" t="s">
        <v>291</v>
      </c>
      <c r="B268" s="6">
        <v>38</v>
      </c>
      <c r="C268" s="8" t="s">
        <v>17</v>
      </c>
      <c r="D268" s="6">
        <v>7</v>
      </c>
      <c r="E268" s="2">
        <v>911.84</v>
      </c>
      <c r="F268" s="2">
        <v>6647.41</v>
      </c>
      <c r="G268" s="8" t="s">
        <v>13</v>
      </c>
      <c r="H268" t="s">
        <v>37</v>
      </c>
      <c r="I268">
        <v>1</v>
      </c>
      <c r="J268" t="s">
        <v>18</v>
      </c>
      <c r="K268" s="8" t="s">
        <v>23</v>
      </c>
      <c r="L268" t="str">
        <f>IF(Table1[[#This Row],[Age]]&lt;25,"Under 25",IF(Table1[[#This Row],[Age]]&lt;35,"25-34",IF(Table1[[#This Row],[Age]]&lt;45,"35-44",IF(Table1[[#This Row],[Age]]&lt;55,"45-54","55+"))))</f>
        <v>35-44</v>
      </c>
    </row>
    <row r="269" spans="1:12" x14ac:dyDescent="0.3">
      <c r="A269" s="8" t="s">
        <v>292</v>
      </c>
      <c r="B269" s="6">
        <v>45</v>
      </c>
      <c r="C269" s="8" t="s">
        <v>17</v>
      </c>
      <c r="D269" s="6">
        <v>36</v>
      </c>
      <c r="E269" s="2">
        <v>2996.33</v>
      </c>
      <c r="F269" s="2">
        <v>103683.32</v>
      </c>
      <c r="G269" s="8" t="s">
        <v>13</v>
      </c>
      <c r="H269" t="s">
        <v>37</v>
      </c>
      <c r="I269">
        <v>8</v>
      </c>
      <c r="J269" t="s">
        <v>18</v>
      </c>
      <c r="K269" s="8" t="s">
        <v>15</v>
      </c>
      <c r="L269" t="str">
        <f>IF(Table1[[#This Row],[Age]]&lt;25,"Under 25",IF(Table1[[#This Row],[Age]]&lt;35,"25-34",IF(Table1[[#This Row],[Age]]&lt;45,"35-44",IF(Table1[[#This Row],[Age]]&lt;55,"45-54","55+"))))</f>
        <v>45-54</v>
      </c>
    </row>
    <row r="270" spans="1:12" x14ac:dyDescent="0.3">
      <c r="A270" s="8" t="s">
        <v>293</v>
      </c>
      <c r="B270" s="6">
        <v>38</v>
      </c>
      <c r="C270" s="8" t="s">
        <v>17</v>
      </c>
      <c r="D270" s="6">
        <v>1</v>
      </c>
      <c r="E270" s="2">
        <v>1813.31</v>
      </c>
      <c r="F270" s="2">
        <v>1737.46</v>
      </c>
      <c r="G270" s="8" t="s">
        <v>13</v>
      </c>
      <c r="H270" t="s">
        <v>25</v>
      </c>
      <c r="I270">
        <v>3</v>
      </c>
      <c r="J270" t="s">
        <v>15</v>
      </c>
      <c r="K270" s="8" t="s">
        <v>15</v>
      </c>
      <c r="L270" t="str">
        <f>IF(Table1[[#This Row],[Age]]&lt;25,"Under 25",IF(Table1[[#This Row],[Age]]&lt;35,"25-34",IF(Table1[[#This Row],[Age]]&lt;45,"35-44",IF(Table1[[#This Row],[Age]]&lt;55,"45-54","55+"))))</f>
        <v>35-44</v>
      </c>
    </row>
    <row r="271" spans="1:12" x14ac:dyDescent="0.3">
      <c r="A271" s="8" t="s">
        <v>294</v>
      </c>
      <c r="B271" s="6">
        <v>61</v>
      </c>
      <c r="C271" s="8" t="s">
        <v>17</v>
      </c>
      <c r="D271" s="6">
        <v>11</v>
      </c>
      <c r="E271" s="2">
        <v>1124.78</v>
      </c>
      <c r="F271" s="2">
        <v>11694.19</v>
      </c>
      <c r="G271" s="8" t="s">
        <v>13</v>
      </c>
      <c r="H271" t="s">
        <v>14</v>
      </c>
      <c r="I271">
        <v>2</v>
      </c>
      <c r="J271" t="s">
        <v>22</v>
      </c>
      <c r="K271" s="8" t="s">
        <v>23</v>
      </c>
      <c r="L271" t="str">
        <f>IF(Table1[[#This Row],[Age]]&lt;25,"Under 25",IF(Table1[[#This Row],[Age]]&lt;35,"25-34",IF(Table1[[#This Row],[Age]]&lt;45,"35-44",IF(Table1[[#This Row],[Age]]&lt;55,"45-54","55+"))))</f>
        <v>55+</v>
      </c>
    </row>
    <row r="272" spans="1:12" x14ac:dyDescent="0.3">
      <c r="A272" s="8" t="s">
        <v>295</v>
      </c>
      <c r="B272" s="6">
        <v>37</v>
      </c>
      <c r="C272" s="8" t="s">
        <v>17</v>
      </c>
      <c r="D272" s="6">
        <v>51</v>
      </c>
      <c r="E272" s="2">
        <v>846.15</v>
      </c>
      <c r="F272" s="2">
        <v>40467.550000000003</v>
      </c>
      <c r="G272" s="8" t="s">
        <v>13</v>
      </c>
      <c r="H272" t="s">
        <v>46</v>
      </c>
      <c r="I272">
        <v>9</v>
      </c>
      <c r="J272" t="s">
        <v>15</v>
      </c>
      <c r="K272" s="8" t="s">
        <v>23</v>
      </c>
      <c r="L272" t="str">
        <f>IF(Table1[[#This Row],[Age]]&lt;25,"Under 25",IF(Table1[[#This Row],[Age]]&lt;35,"25-34",IF(Table1[[#This Row],[Age]]&lt;45,"35-44",IF(Table1[[#This Row],[Age]]&lt;55,"45-54","55+"))))</f>
        <v>35-44</v>
      </c>
    </row>
    <row r="273" spans="1:12" x14ac:dyDescent="0.3">
      <c r="A273" s="8" t="s">
        <v>296</v>
      </c>
      <c r="B273" s="6">
        <v>24</v>
      </c>
      <c r="C273" s="8" t="s">
        <v>12</v>
      </c>
      <c r="D273" s="6">
        <v>20</v>
      </c>
      <c r="E273" s="2">
        <v>530.45000000000005</v>
      </c>
      <c r="F273" s="2">
        <v>10177.780000000001</v>
      </c>
      <c r="G273" s="8" t="s">
        <v>20</v>
      </c>
      <c r="H273" t="s">
        <v>46</v>
      </c>
      <c r="I273">
        <v>5</v>
      </c>
      <c r="J273" t="s">
        <v>22</v>
      </c>
      <c r="K273" s="8" t="s">
        <v>15</v>
      </c>
      <c r="L273" t="str">
        <f>IF(Table1[[#This Row],[Age]]&lt;25,"Under 25",IF(Table1[[#This Row],[Age]]&lt;35,"25-34",IF(Table1[[#This Row],[Age]]&lt;45,"35-44",IF(Table1[[#This Row],[Age]]&lt;55,"45-54","55+"))))</f>
        <v>Under 25</v>
      </c>
    </row>
    <row r="274" spans="1:12" x14ac:dyDescent="0.3">
      <c r="A274" s="8" t="s">
        <v>297</v>
      </c>
      <c r="B274" s="6">
        <v>59</v>
      </c>
      <c r="C274" s="8" t="s">
        <v>12</v>
      </c>
      <c r="D274" s="6">
        <v>20</v>
      </c>
      <c r="E274" s="2">
        <v>1942.99</v>
      </c>
      <c r="F274" s="2">
        <v>40495.480000000003</v>
      </c>
      <c r="G274" s="8" t="s">
        <v>13</v>
      </c>
      <c r="H274" t="s">
        <v>37</v>
      </c>
      <c r="I274">
        <v>2</v>
      </c>
      <c r="J274" t="s">
        <v>22</v>
      </c>
      <c r="K274" s="8" t="s">
        <v>15</v>
      </c>
      <c r="L274" t="str">
        <f>IF(Table1[[#This Row],[Age]]&lt;25,"Under 25",IF(Table1[[#This Row],[Age]]&lt;35,"25-34",IF(Table1[[#This Row],[Age]]&lt;45,"35-44",IF(Table1[[#This Row],[Age]]&lt;55,"45-54","55+"))))</f>
        <v>55+</v>
      </c>
    </row>
    <row r="275" spans="1:12" x14ac:dyDescent="0.3">
      <c r="A275" s="8" t="s">
        <v>298</v>
      </c>
      <c r="B275" s="6">
        <v>36</v>
      </c>
      <c r="C275" s="8" t="s">
        <v>17</v>
      </c>
      <c r="D275" s="6">
        <v>37</v>
      </c>
      <c r="E275" s="2">
        <v>4018.88</v>
      </c>
      <c r="F275" s="2">
        <v>141097.53</v>
      </c>
      <c r="G275" s="8" t="s">
        <v>13</v>
      </c>
      <c r="H275" t="s">
        <v>46</v>
      </c>
      <c r="I275">
        <v>5</v>
      </c>
      <c r="J275" t="s">
        <v>18</v>
      </c>
      <c r="K275" s="8" t="s">
        <v>15</v>
      </c>
      <c r="L275" t="str">
        <f>IF(Table1[[#This Row],[Age]]&lt;25,"Under 25",IF(Table1[[#This Row],[Age]]&lt;35,"25-34",IF(Table1[[#This Row],[Age]]&lt;45,"35-44",IF(Table1[[#This Row],[Age]]&lt;55,"45-54","55+"))))</f>
        <v>35-44</v>
      </c>
    </row>
    <row r="276" spans="1:12" x14ac:dyDescent="0.3">
      <c r="A276" s="8" t="s">
        <v>299</v>
      </c>
      <c r="B276" s="6">
        <v>30</v>
      </c>
      <c r="C276" s="8" t="s">
        <v>12</v>
      </c>
      <c r="D276" s="6">
        <v>44</v>
      </c>
      <c r="E276" s="2">
        <v>3954.28</v>
      </c>
      <c r="F276" s="2">
        <v>157291.95000000001</v>
      </c>
      <c r="G276" s="8" t="s">
        <v>35</v>
      </c>
      <c r="H276" t="s">
        <v>21</v>
      </c>
      <c r="I276">
        <v>7</v>
      </c>
      <c r="J276" t="s">
        <v>22</v>
      </c>
      <c r="K276" s="8" t="s">
        <v>15</v>
      </c>
      <c r="L276" t="str">
        <f>IF(Table1[[#This Row],[Age]]&lt;25,"Under 25",IF(Table1[[#This Row],[Age]]&lt;35,"25-34",IF(Table1[[#This Row],[Age]]&lt;45,"35-44",IF(Table1[[#This Row],[Age]]&lt;55,"45-54","55+"))))</f>
        <v>25-34</v>
      </c>
    </row>
    <row r="277" spans="1:12" x14ac:dyDescent="0.3">
      <c r="A277" s="8" t="s">
        <v>300</v>
      </c>
      <c r="B277" s="6">
        <v>22</v>
      </c>
      <c r="C277" s="8" t="s">
        <v>17</v>
      </c>
      <c r="D277" s="6">
        <v>44</v>
      </c>
      <c r="E277" s="2">
        <v>2746.86</v>
      </c>
      <c r="F277" s="2">
        <v>120257.58</v>
      </c>
      <c r="G277" s="8" t="s">
        <v>13</v>
      </c>
      <c r="H277" t="s">
        <v>21</v>
      </c>
      <c r="I277">
        <v>6</v>
      </c>
      <c r="J277" t="s">
        <v>22</v>
      </c>
      <c r="K277" s="8" t="s">
        <v>23</v>
      </c>
      <c r="L277" t="str">
        <f>IF(Table1[[#This Row],[Age]]&lt;25,"Under 25",IF(Table1[[#This Row],[Age]]&lt;35,"25-34",IF(Table1[[#This Row],[Age]]&lt;45,"35-44",IF(Table1[[#This Row],[Age]]&lt;55,"45-54","55+"))))</f>
        <v>Under 25</v>
      </c>
    </row>
    <row r="278" spans="1:12" x14ac:dyDescent="0.3">
      <c r="A278" s="8" t="s">
        <v>301</v>
      </c>
      <c r="B278" s="6">
        <v>56</v>
      </c>
      <c r="C278" s="8" t="s">
        <v>17</v>
      </c>
      <c r="D278" s="6">
        <v>38</v>
      </c>
      <c r="E278" s="2">
        <v>2303.62</v>
      </c>
      <c r="F278" s="2">
        <v>85435.95</v>
      </c>
      <c r="G278" s="8" t="s">
        <v>20</v>
      </c>
      <c r="H278" t="s">
        <v>46</v>
      </c>
      <c r="I278">
        <v>8</v>
      </c>
      <c r="J278" t="s">
        <v>18</v>
      </c>
      <c r="K278" s="8" t="s">
        <v>15</v>
      </c>
      <c r="L278" t="str">
        <f>IF(Table1[[#This Row],[Age]]&lt;25,"Under 25",IF(Table1[[#This Row],[Age]]&lt;35,"25-34",IF(Table1[[#This Row],[Age]]&lt;45,"35-44",IF(Table1[[#This Row],[Age]]&lt;55,"45-54","55+"))))</f>
        <v>55+</v>
      </c>
    </row>
    <row r="279" spans="1:12" x14ac:dyDescent="0.3">
      <c r="A279" s="8" t="s">
        <v>302</v>
      </c>
      <c r="B279" s="6">
        <v>41</v>
      </c>
      <c r="C279" s="8" t="s">
        <v>12</v>
      </c>
      <c r="D279" s="6">
        <v>7</v>
      </c>
      <c r="E279" s="2">
        <v>3960.29</v>
      </c>
      <c r="F279" s="2">
        <v>27684.33</v>
      </c>
      <c r="G279" s="8" t="s">
        <v>13</v>
      </c>
      <c r="H279" t="s">
        <v>25</v>
      </c>
      <c r="I279">
        <v>0</v>
      </c>
      <c r="J279" t="s">
        <v>15</v>
      </c>
      <c r="K279" s="8" t="s">
        <v>15</v>
      </c>
      <c r="L279" t="str">
        <f>IF(Table1[[#This Row],[Age]]&lt;25,"Under 25",IF(Table1[[#This Row],[Age]]&lt;35,"25-34",IF(Table1[[#This Row],[Age]]&lt;45,"35-44",IF(Table1[[#This Row],[Age]]&lt;55,"45-54","55+"))))</f>
        <v>35-44</v>
      </c>
    </row>
    <row r="280" spans="1:12" x14ac:dyDescent="0.3">
      <c r="A280" s="8" t="s">
        <v>303</v>
      </c>
      <c r="B280" s="6">
        <v>61</v>
      </c>
      <c r="C280" s="8" t="s">
        <v>17</v>
      </c>
      <c r="D280" s="6">
        <v>49</v>
      </c>
      <c r="E280" s="2">
        <v>1992.19</v>
      </c>
      <c r="F280" s="2">
        <v>99514.47</v>
      </c>
      <c r="G280" s="8" t="s">
        <v>13</v>
      </c>
      <c r="H280" t="s">
        <v>14</v>
      </c>
      <c r="I280">
        <v>4</v>
      </c>
      <c r="J280" t="s">
        <v>18</v>
      </c>
      <c r="K280" s="8" t="s">
        <v>15</v>
      </c>
      <c r="L280" t="str">
        <f>IF(Table1[[#This Row],[Age]]&lt;25,"Under 25",IF(Table1[[#This Row],[Age]]&lt;35,"25-34",IF(Table1[[#This Row],[Age]]&lt;45,"35-44",IF(Table1[[#This Row],[Age]]&lt;55,"45-54","55+"))))</f>
        <v>55+</v>
      </c>
    </row>
    <row r="281" spans="1:12" x14ac:dyDescent="0.3">
      <c r="A281" s="8" t="s">
        <v>304</v>
      </c>
      <c r="B281" s="6">
        <v>51</v>
      </c>
      <c r="C281" s="8" t="s">
        <v>12</v>
      </c>
      <c r="D281" s="6">
        <v>29</v>
      </c>
      <c r="E281" s="2">
        <v>2183.54</v>
      </c>
      <c r="F281" s="2">
        <v>61388.75</v>
      </c>
      <c r="G281" s="8" t="s">
        <v>35</v>
      </c>
      <c r="H281" t="s">
        <v>25</v>
      </c>
      <c r="I281">
        <v>2</v>
      </c>
      <c r="J281" t="s">
        <v>22</v>
      </c>
      <c r="K281" s="8" t="s">
        <v>15</v>
      </c>
      <c r="L281" t="str">
        <f>IF(Table1[[#This Row],[Age]]&lt;25,"Under 25",IF(Table1[[#This Row],[Age]]&lt;35,"25-34",IF(Table1[[#This Row],[Age]]&lt;45,"35-44",IF(Table1[[#This Row],[Age]]&lt;55,"45-54","55+"))))</f>
        <v>45-54</v>
      </c>
    </row>
    <row r="282" spans="1:12" x14ac:dyDescent="0.3">
      <c r="A282" s="8" t="s">
        <v>305</v>
      </c>
      <c r="B282" s="6">
        <v>48</v>
      </c>
      <c r="C282" s="8" t="s">
        <v>12</v>
      </c>
      <c r="D282" s="6">
        <v>19</v>
      </c>
      <c r="E282" s="2">
        <v>2371.89</v>
      </c>
      <c r="F282" s="2">
        <v>47060.49</v>
      </c>
      <c r="G282" s="8" t="s">
        <v>13</v>
      </c>
      <c r="H282" t="s">
        <v>21</v>
      </c>
      <c r="I282">
        <v>5</v>
      </c>
      <c r="J282" t="s">
        <v>22</v>
      </c>
      <c r="K282" s="8" t="s">
        <v>23</v>
      </c>
      <c r="L282" t="str">
        <f>IF(Table1[[#This Row],[Age]]&lt;25,"Under 25",IF(Table1[[#This Row],[Age]]&lt;35,"25-34",IF(Table1[[#This Row],[Age]]&lt;45,"35-44",IF(Table1[[#This Row],[Age]]&lt;55,"45-54","55+"))))</f>
        <v>45-54</v>
      </c>
    </row>
    <row r="283" spans="1:12" x14ac:dyDescent="0.3">
      <c r="A283" s="8" t="s">
        <v>306</v>
      </c>
      <c r="B283" s="6">
        <v>31</v>
      </c>
      <c r="C283" s="8" t="s">
        <v>17</v>
      </c>
      <c r="D283" s="6">
        <v>23</v>
      </c>
      <c r="E283" s="2">
        <v>2642.73</v>
      </c>
      <c r="F283" s="2">
        <v>58699.45</v>
      </c>
      <c r="G283" s="8" t="s">
        <v>35</v>
      </c>
      <c r="H283" t="s">
        <v>37</v>
      </c>
      <c r="I283">
        <v>1</v>
      </c>
      <c r="J283" t="s">
        <v>22</v>
      </c>
      <c r="K283" s="8" t="s">
        <v>23</v>
      </c>
      <c r="L283" t="str">
        <f>IF(Table1[[#This Row],[Age]]&lt;25,"Under 25",IF(Table1[[#This Row],[Age]]&lt;35,"25-34",IF(Table1[[#This Row],[Age]]&lt;45,"35-44",IF(Table1[[#This Row],[Age]]&lt;55,"45-54","55+"))))</f>
        <v>25-34</v>
      </c>
    </row>
    <row r="284" spans="1:12" x14ac:dyDescent="0.3">
      <c r="A284" s="8" t="s">
        <v>307</v>
      </c>
      <c r="B284" s="6">
        <v>63</v>
      </c>
      <c r="C284" s="8" t="s">
        <v>12</v>
      </c>
      <c r="D284" s="6">
        <v>2</v>
      </c>
      <c r="E284" s="2">
        <v>4321.3100000000004</v>
      </c>
      <c r="F284" s="2">
        <v>8618.3799999999992</v>
      </c>
      <c r="G284" s="8" t="s">
        <v>35</v>
      </c>
      <c r="H284" t="s">
        <v>21</v>
      </c>
      <c r="I284">
        <v>3</v>
      </c>
      <c r="J284" t="s">
        <v>15</v>
      </c>
      <c r="K284" s="8" t="s">
        <v>23</v>
      </c>
      <c r="L284" t="str">
        <f>IF(Table1[[#This Row],[Age]]&lt;25,"Under 25",IF(Table1[[#This Row],[Age]]&lt;35,"25-34",IF(Table1[[#This Row],[Age]]&lt;45,"35-44",IF(Table1[[#This Row],[Age]]&lt;55,"45-54","55+"))))</f>
        <v>55+</v>
      </c>
    </row>
    <row r="285" spans="1:12" x14ac:dyDescent="0.3">
      <c r="A285" s="8" t="s">
        <v>308</v>
      </c>
      <c r="B285" s="6">
        <v>28</v>
      </c>
      <c r="C285" s="8" t="s">
        <v>17</v>
      </c>
      <c r="D285" s="6">
        <v>36</v>
      </c>
      <c r="E285" s="2">
        <v>2418.66</v>
      </c>
      <c r="F285" s="2">
        <v>84399.360000000001</v>
      </c>
      <c r="G285" s="8" t="s">
        <v>35</v>
      </c>
      <c r="H285" t="s">
        <v>21</v>
      </c>
      <c r="I285">
        <v>2</v>
      </c>
      <c r="J285" t="s">
        <v>15</v>
      </c>
      <c r="K285" s="8" t="s">
        <v>15</v>
      </c>
      <c r="L285" t="str">
        <f>IF(Table1[[#This Row],[Age]]&lt;25,"Under 25",IF(Table1[[#This Row],[Age]]&lt;35,"25-34",IF(Table1[[#This Row],[Age]]&lt;45,"35-44",IF(Table1[[#This Row],[Age]]&lt;55,"45-54","55+"))))</f>
        <v>25-34</v>
      </c>
    </row>
    <row r="286" spans="1:12" x14ac:dyDescent="0.3">
      <c r="A286" s="8" t="s">
        <v>309</v>
      </c>
      <c r="B286" s="6">
        <v>43</v>
      </c>
      <c r="C286" s="8" t="s">
        <v>12</v>
      </c>
      <c r="D286" s="6">
        <v>48</v>
      </c>
      <c r="E286" s="2">
        <v>3263.48</v>
      </c>
      <c r="F286" s="2">
        <v>145618.88</v>
      </c>
      <c r="G286" s="8" t="s">
        <v>35</v>
      </c>
      <c r="H286" t="s">
        <v>46</v>
      </c>
      <c r="I286">
        <v>0</v>
      </c>
      <c r="J286" t="s">
        <v>15</v>
      </c>
      <c r="K286" s="8" t="s">
        <v>15</v>
      </c>
      <c r="L286" t="str">
        <f>IF(Table1[[#This Row],[Age]]&lt;25,"Under 25",IF(Table1[[#This Row],[Age]]&lt;35,"25-34",IF(Table1[[#This Row],[Age]]&lt;45,"35-44",IF(Table1[[#This Row],[Age]]&lt;55,"45-54","55+"))))</f>
        <v>35-44</v>
      </c>
    </row>
    <row r="287" spans="1:12" x14ac:dyDescent="0.3">
      <c r="A287" s="8" t="s">
        <v>310</v>
      </c>
      <c r="B287" s="6">
        <v>35</v>
      </c>
      <c r="C287" s="8" t="s">
        <v>12</v>
      </c>
      <c r="D287" s="6">
        <v>37</v>
      </c>
      <c r="E287" s="2">
        <v>957.88</v>
      </c>
      <c r="F287" s="2">
        <v>36533.050000000003</v>
      </c>
      <c r="G287" s="8" t="s">
        <v>13</v>
      </c>
      <c r="H287" t="s">
        <v>37</v>
      </c>
      <c r="I287">
        <v>3</v>
      </c>
      <c r="J287" t="s">
        <v>22</v>
      </c>
      <c r="K287" s="8" t="s">
        <v>23</v>
      </c>
      <c r="L287" t="str">
        <f>IF(Table1[[#This Row],[Age]]&lt;25,"Under 25",IF(Table1[[#This Row],[Age]]&lt;35,"25-34",IF(Table1[[#This Row],[Age]]&lt;45,"35-44",IF(Table1[[#This Row],[Age]]&lt;55,"45-54","55+"))))</f>
        <v>35-44</v>
      </c>
    </row>
    <row r="288" spans="1:12" x14ac:dyDescent="0.3">
      <c r="A288" s="8" t="s">
        <v>311</v>
      </c>
      <c r="B288" s="6">
        <v>60</v>
      </c>
      <c r="C288" s="8" t="s">
        <v>17</v>
      </c>
      <c r="D288" s="6">
        <v>34</v>
      </c>
      <c r="E288" s="2">
        <v>4846.62</v>
      </c>
      <c r="F288" s="2">
        <v>156053.22</v>
      </c>
      <c r="G288" s="8" t="s">
        <v>13</v>
      </c>
      <c r="H288" t="s">
        <v>46</v>
      </c>
      <c r="I288">
        <v>9</v>
      </c>
      <c r="J288" t="s">
        <v>18</v>
      </c>
      <c r="K288" s="8" t="s">
        <v>23</v>
      </c>
      <c r="L288" t="str">
        <f>IF(Table1[[#This Row],[Age]]&lt;25,"Under 25",IF(Table1[[#This Row],[Age]]&lt;35,"25-34",IF(Table1[[#This Row],[Age]]&lt;45,"35-44",IF(Table1[[#This Row],[Age]]&lt;55,"45-54","55+"))))</f>
        <v>55+</v>
      </c>
    </row>
    <row r="289" spans="1:12" x14ac:dyDescent="0.3">
      <c r="A289" s="8" t="s">
        <v>312</v>
      </c>
      <c r="B289" s="6">
        <v>47</v>
      </c>
      <c r="C289" s="8" t="s">
        <v>12</v>
      </c>
      <c r="D289" s="6">
        <v>53</v>
      </c>
      <c r="E289" s="2">
        <v>3531.15</v>
      </c>
      <c r="F289" s="2">
        <v>190911.19</v>
      </c>
      <c r="G289" s="8" t="s">
        <v>20</v>
      </c>
      <c r="H289" t="s">
        <v>25</v>
      </c>
      <c r="I289">
        <v>1</v>
      </c>
      <c r="J289" t="s">
        <v>15</v>
      </c>
      <c r="K289" s="8" t="s">
        <v>23</v>
      </c>
      <c r="L289" t="str">
        <f>IF(Table1[[#This Row],[Age]]&lt;25,"Under 25",IF(Table1[[#This Row],[Age]]&lt;35,"25-34",IF(Table1[[#This Row],[Age]]&lt;45,"35-44",IF(Table1[[#This Row],[Age]]&lt;55,"45-54","55+"))))</f>
        <v>45-54</v>
      </c>
    </row>
    <row r="290" spans="1:12" x14ac:dyDescent="0.3">
      <c r="A290" s="8" t="s">
        <v>313</v>
      </c>
      <c r="B290" s="6">
        <v>25</v>
      </c>
      <c r="C290" s="8" t="s">
        <v>12</v>
      </c>
      <c r="D290" s="6">
        <v>20</v>
      </c>
      <c r="E290" s="2">
        <v>1026.27</v>
      </c>
      <c r="F290" s="2">
        <v>19622.2</v>
      </c>
      <c r="G290" s="8" t="s">
        <v>13</v>
      </c>
      <c r="H290" t="s">
        <v>46</v>
      </c>
      <c r="I290">
        <v>6</v>
      </c>
      <c r="J290" t="s">
        <v>15</v>
      </c>
      <c r="K290" s="8" t="s">
        <v>23</v>
      </c>
      <c r="L290" t="str">
        <f>IF(Table1[[#This Row],[Age]]&lt;25,"Under 25",IF(Table1[[#This Row],[Age]]&lt;35,"25-34",IF(Table1[[#This Row],[Age]]&lt;45,"35-44",IF(Table1[[#This Row],[Age]]&lt;55,"45-54","55+"))))</f>
        <v>25-34</v>
      </c>
    </row>
    <row r="291" spans="1:12" x14ac:dyDescent="0.3">
      <c r="A291" s="8" t="s">
        <v>314</v>
      </c>
      <c r="B291" s="6">
        <v>42</v>
      </c>
      <c r="C291" s="8" t="s">
        <v>17</v>
      </c>
      <c r="D291" s="6">
        <v>12</v>
      </c>
      <c r="E291" s="2">
        <v>2690.02</v>
      </c>
      <c r="F291" s="2">
        <v>31654.23</v>
      </c>
      <c r="G291" s="8" t="s">
        <v>20</v>
      </c>
      <c r="H291" t="s">
        <v>21</v>
      </c>
      <c r="I291">
        <v>8</v>
      </c>
      <c r="J291" t="s">
        <v>18</v>
      </c>
      <c r="K291" s="8" t="s">
        <v>23</v>
      </c>
      <c r="L291" t="str">
        <f>IF(Table1[[#This Row],[Age]]&lt;25,"Under 25",IF(Table1[[#This Row],[Age]]&lt;35,"25-34",IF(Table1[[#This Row],[Age]]&lt;45,"35-44",IF(Table1[[#This Row],[Age]]&lt;55,"45-54","55+"))))</f>
        <v>35-44</v>
      </c>
    </row>
    <row r="292" spans="1:12" x14ac:dyDescent="0.3">
      <c r="A292" s="8" t="s">
        <v>315</v>
      </c>
      <c r="B292" s="6">
        <v>26</v>
      </c>
      <c r="C292" s="8" t="s">
        <v>12</v>
      </c>
      <c r="D292" s="6">
        <v>21</v>
      </c>
      <c r="E292" s="2">
        <v>4288.93</v>
      </c>
      <c r="F292" s="2">
        <v>89429.09</v>
      </c>
      <c r="G292" s="8" t="s">
        <v>20</v>
      </c>
      <c r="H292" t="s">
        <v>14</v>
      </c>
      <c r="I292">
        <v>7</v>
      </c>
      <c r="J292" t="s">
        <v>18</v>
      </c>
      <c r="K292" s="8" t="s">
        <v>23</v>
      </c>
      <c r="L292" t="str">
        <f>IF(Table1[[#This Row],[Age]]&lt;25,"Under 25",IF(Table1[[#This Row],[Age]]&lt;35,"25-34",IF(Table1[[#This Row],[Age]]&lt;45,"35-44",IF(Table1[[#This Row],[Age]]&lt;55,"45-54","55+"))))</f>
        <v>25-34</v>
      </c>
    </row>
    <row r="293" spans="1:12" x14ac:dyDescent="0.3">
      <c r="A293" s="8" t="s">
        <v>316</v>
      </c>
      <c r="B293" s="6">
        <v>42</v>
      </c>
      <c r="C293" s="8" t="s">
        <v>17</v>
      </c>
      <c r="D293" s="6">
        <v>27</v>
      </c>
      <c r="E293" s="2">
        <v>3581.14</v>
      </c>
      <c r="F293" s="2">
        <v>93049.85</v>
      </c>
      <c r="G293" s="8" t="s">
        <v>20</v>
      </c>
      <c r="H293" t="s">
        <v>46</v>
      </c>
      <c r="I293">
        <v>2</v>
      </c>
      <c r="J293" t="s">
        <v>18</v>
      </c>
      <c r="K293" s="8" t="s">
        <v>15</v>
      </c>
      <c r="L293" t="str">
        <f>IF(Table1[[#This Row],[Age]]&lt;25,"Under 25",IF(Table1[[#This Row],[Age]]&lt;35,"25-34",IF(Table1[[#This Row],[Age]]&lt;45,"35-44",IF(Table1[[#This Row],[Age]]&lt;55,"45-54","55+"))))</f>
        <v>35-44</v>
      </c>
    </row>
    <row r="294" spans="1:12" x14ac:dyDescent="0.3">
      <c r="A294" s="8" t="s">
        <v>317</v>
      </c>
      <c r="B294" s="6">
        <v>32</v>
      </c>
      <c r="C294" s="8" t="s">
        <v>17</v>
      </c>
      <c r="D294" s="6">
        <v>3</v>
      </c>
      <c r="E294" s="2">
        <v>1736.84</v>
      </c>
      <c r="F294" s="2">
        <v>5109.6499999999996</v>
      </c>
      <c r="G294" s="8" t="s">
        <v>13</v>
      </c>
      <c r="H294" t="s">
        <v>46</v>
      </c>
      <c r="I294">
        <v>9</v>
      </c>
      <c r="J294" t="s">
        <v>15</v>
      </c>
      <c r="K294" s="8" t="s">
        <v>15</v>
      </c>
      <c r="L294" t="str">
        <f>IF(Table1[[#This Row],[Age]]&lt;25,"Under 25",IF(Table1[[#This Row],[Age]]&lt;35,"25-34",IF(Table1[[#This Row],[Age]]&lt;45,"35-44",IF(Table1[[#This Row],[Age]]&lt;55,"45-54","55+"))))</f>
        <v>25-34</v>
      </c>
    </row>
    <row r="295" spans="1:12" x14ac:dyDescent="0.3">
      <c r="A295" s="8" t="s">
        <v>318</v>
      </c>
      <c r="B295" s="6">
        <v>49</v>
      </c>
      <c r="C295" s="8" t="s">
        <v>12</v>
      </c>
      <c r="D295" s="6">
        <v>37</v>
      </c>
      <c r="E295" s="2">
        <v>1013.93</v>
      </c>
      <c r="F295" s="2">
        <v>38125.67</v>
      </c>
      <c r="G295" s="8" t="s">
        <v>20</v>
      </c>
      <c r="H295" t="s">
        <v>37</v>
      </c>
      <c r="I295">
        <v>8</v>
      </c>
      <c r="J295" t="s">
        <v>18</v>
      </c>
      <c r="K295" s="8" t="s">
        <v>15</v>
      </c>
      <c r="L295" t="str">
        <f>IF(Table1[[#This Row],[Age]]&lt;25,"Under 25",IF(Table1[[#This Row],[Age]]&lt;35,"25-34",IF(Table1[[#This Row],[Age]]&lt;45,"35-44",IF(Table1[[#This Row],[Age]]&lt;55,"45-54","55+"))))</f>
        <v>45-54</v>
      </c>
    </row>
    <row r="296" spans="1:12" x14ac:dyDescent="0.3">
      <c r="A296" s="8" t="s">
        <v>319</v>
      </c>
      <c r="B296" s="6">
        <v>46</v>
      </c>
      <c r="C296" s="8" t="s">
        <v>12</v>
      </c>
      <c r="D296" s="6">
        <v>28</v>
      </c>
      <c r="E296" s="2">
        <v>960.87</v>
      </c>
      <c r="F296" s="2">
        <v>27563.8</v>
      </c>
      <c r="G296" s="8" t="s">
        <v>35</v>
      </c>
      <c r="H296" t="s">
        <v>37</v>
      </c>
      <c r="I296">
        <v>0</v>
      </c>
      <c r="J296" t="s">
        <v>22</v>
      </c>
      <c r="K296" s="8" t="s">
        <v>15</v>
      </c>
      <c r="L296" t="str">
        <f>IF(Table1[[#This Row],[Age]]&lt;25,"Under 25",IF(Table1[[#This Row],[Age]]&lt;35,"25-34",IF(Table1[[#This Row],[Age]]&lt;45,"35-44",IF(Table1[[#This Row],[Age]]&lt;55,"45-54","55+"))))</f>
        <v>45-54</v>
      </c>
    </row>
    <row r="297" spans="1:12" x14ac:dyDescent="0.3">
      <c r="A297" s="8" t="s">
        <v>320</v>
      </c>
      <c r="B297" s="6">
        <v>23</v>
      </c>
      <c r="C297" s="8" t="s">
        <v>17</v>
      </c>
      <c r="D297" s="6">
        <v>56</v>
      </c>
      <c r="E297" s="2">
        <v>4972.8100000000004</v>
      </c>
      <c r="F297" s="2">
        <v>283029</v>
      </c>
      <c r="G297" s="8" t="s">
        <v>13</v>
      </c>
      <c r="H297" t="s">
        <v>25</v>
      </c>
      <c r="I297">
        <v>5</v>
      </c>
      <c r="J297" t="s">
        <v>15</v>
      </c>
      <c r="K297" s="8" t="s">
        <v>15</v>
      </c>
      <c r="L297" t="str">
        <f>IF(Table1[[#This Row],[Age]]&lt;25,"Under 25",IF(Table1[[#This Row],[Age]]&lt;35,"25-34",IF(Table1[[#This Row],[Age]]&lt;45,"35-44",IF(Table1[[#This Row],[Age]]&lt;55,"45-54","55+"))))</f>
        <v>Under 25</v>
      </c>
    </row>
    <row r="298" spans="1:12" x14ac:dyDescent="0.3">
      <c r="A298" s="8" t="s">
        <v>321</v>
      </c>
      <c r="B298" s="6">
        <v>45</v>
      </c>
      <c r="C298" s="8" t="s">
        <v>12</v>
      </c>
      <c r="D298" s="6">
        <v>40</v>
      </c>
      <c r="E298" s="2">
        <v>1126.56</v>
      </c>
      <c r="F298" s="2">
        <v>41952.78</v>
      </c>
      <c r="G298" s="8" t="s">
        <v>13</v>
      </c>
      <c r="H298" t="s">
        <v>14</v>
      </c>
      <c r="I298">
        <v>9</v>
      </c>
      <c r="J298" t="s">
        <v>22</v>
      </c>
      <c r="K298" s="8" t="s">
        <v>15</v>
      </c>
      <c r="L298" t="str">
        <f>IF(Table1[[#This Row],[Age]]&lt;25,"Under 25",IF(Table1[[#This Row],[Age]]&lt;35,"25-34",IF(Table1[[#This Row],[Age]]&lt;45,"35-44",IF(Table1[[#This Row],[Age]]&lt;55,"45-54","55+"))))</f>
        <v>45-54</v>
      </c>
    </row>
    <row r="299" spans="1:12" x14ac:dyDescent="0.3">
      <c r="A299" s="8" t="s">
        <v>322</v>
      </c>
      <c r="B299" s="6">
        <v>56</v>
      </c>
      <c r="C299" s="8" t="s">
        <v>12</v>
      </c>
      <c r="D299" s="6">
        <v>21</v>
      </c>
      <c r="E299" s="2">
        <v>4905.5</v>
      </c>
      <c r="F299" s="2">
        <v>97235.839999999997</v>
      </c>
      <c r="G299" s="8" t="s">
        <v>35</v>
      </c>
      <c r="H299" t="s">
        <v>25</v>
      </c>
      <c r="I299">
        <v>10</v>
      </c>
      <c r="J299" t="s">
        <v>18</v>
      </c>
      <c r="K299" s="8" t="s">
        <v>23</v>
      </c>
      <c r="L299" t="str">
        <f>IF(Table1[[#This Row],[Age]]&lt;25,"Under 25",IF(Table1[[#This Row],[Age]]&lt;35,"25-34",IF(Table1[[#This Row],[Age]]&lt;45,"35-44",IF(Table1[[#This Row],[Age]]&lt;55,"45-54","55+"))))</f>
        <v>55+</v>
      </c>
    </row>
    <row r="300" spans="1:12" x14ac:dyDescent="0.3">
      <c r="A300" s="8" t="s">
        <v>323</v>
      </c>
      <c r="B300" s="6">
        <v>44</v>
      </c>
      <c r="C300" s="8" t="s">
        <v>12</v>
      </c>
      <c r="D300" s="6">
        <v>18</v>
      </c>
      <c r="E300" s="2">
        <v>4401.71</v>
      </c>
      <c r="F300" s="2">
        <v>72815.72</v>
      </c>
      <c r="G300" s="8" t="s">
        <v>20</v>
      </c>
      <c r="H300" t="s">
        <v>21</v>
      </c>
      <c r="I300">
        <v>2</v>
      </c>
      <c r="J300" t="s">
        <v>15</v>
      </c>
      <c r="K300" s="8" t="s">
        <v>15</v>
      </c>
      <c r="L300" t="str">
        <f>IF(Table1[[#This Row],[Age]]&lt;25,"Under 25",IF(Table1[[#This Row],[Age]]&lt;35,"25-34",IF(Table1[[#This Row],[Age]]&lt;45,"35-44",IF(Table1[[#This Row],[Age]]&lt;55,"45-54","55+"))))</f>
        <v>35-44</v>
      </c>
    </row>
    <row r="301" spans="1:12" x14ac:dyDescent="0.3">
      <c r="A301" s="8" t="s">
        <v>324</v>
      </c>
      <c r="B301" s="6">
        <v>33</v>
      </c>
      <c r="C301" s="8" t="s">
        <v>17</v>
      </c>
      <c r="D301" s="6">
        <v>32</v>
      </c>
      <c r="E301" s="2">
        <v>1139.77</v>
      </c>
      <c r="F301" s="2">
        <v>36285.18</v>
      </c>
      <c r="G301" s="8" t="s">
        <v>35</v>
      </c>
      <c r="H301" t="s">
        <v>46</v>
      </c>
      <c r="I301">
        <v>7</v>
      </c>
      <c r="J301" t="s">
        <v>18</v>
      </c>
      <c r="K301" s="8" t="s">
        <v>15</v>
      </c>
      <c r="L301" t="str">
        <f>IF(Table1[[#This Row],[Age]]&lt;25,"Under 25",IF(Table1[[#This Row],[Age]]&lt;35,"25-34",IF(Table1[[#This Row],[Age]]&lt;45,"35-44",IF(Table1[[#This Row],[Age]]&lt;55,"45-54","55+"))))</f>
        <v>25-34</v>
      </c>
    </row>
    <row r="302" spans="1:12" x14ac:dyDescent="0.3">
      <c r="A302" s="8" t="s">
        <v>325</v>
      </c>
      <c r="B302" s="6">
        <v>23</v>
      </c>
      <c r="C302" s="8" t="s">
        <v>17</v>
      </c>
      <c r="D302" s="6">
        <v>33</v>
      </c>
      <c r="E302" s="2">
        <v>3874.11</v>
      </c>
      <c r="F302" s="2">
        <v>128383.29</v>
      </c>
      <c r="G302" s="8" t="s">
        <v>20</v>
      </c>
      <c r="H302" t="s">
        <v>46</v>
      </c>
      <c r="I302">
        <v>7</v>
      </c>
      <c r="J302" t="s">
        <v>22</v>
      </c>
      <c r="K302" s="8" t="s">
        <v>15</v>
      </c>
      <c r="L302" t="str">
        <f>IF(Table1[[#This Row],[Age]]&lt;25,"Under 25",IF(Table1[[#This Row],[Age]]&lt;35,"25-34",IF(Table1[[#This Row],[Age]]&lt;45,"35-44",IF(Table1[[#This Row],[Age]]&lt;55,"45-54","55+"))))</f>
        <v>Under 25</v>
      </c>
    </row>
    <row r="303" spans="1:12" x14ac:dyDescent="0.3">
      <c r="A303" s="8" t="s">
        <v>326</v>
      </c>
      <c r="B303" s="6">
        <v>64</v>
      </c>
      <c r="C303" s="8" t="s">
        <v>12</v>
      </c>
      <c r="D303" s="6">
        <v>47</v>
      </c>
      <c r="E303" s="2">
        <v>4874.68</v>
      </c>
      <c r="F303" s="2">
        <v>228016.21</v>
      </c>
      <c r="G303" s="8" t="s">
        <v>35</v>
      </c>
      <c r="H303" t="s">
        <v>14</v>
      </c>
      <c r="I303">
        <v>8</v>
      </c>
      <c r="J303" t="s">
        <v>22</v>
      </c>
      <c r="K303" s="8" t="s">
        <v>23</v>
      </c>
      <c r="L303" t="str">
        <f>IF(Table1[[#This Row],[Age]]&lt;25,"Under 25",IF(Table1[[#This Row],[Age]]&lt;35,"25-34",IF(Table1[[#This Row],[Age]]&lt;45,"35-44",IF(Table1[[#This Row],[Age]]&lt;55,"45-54","55+"))))</f>
        <v>55+</v>
      </c>
    </row>
    <row r="304" spans="1:12" x14ac:dyDescent="0.3">
      <c r="A304" s="8" t="s">
        <v>327</v>
      </c>
      <c r="B304" s="6">
        <v>45</v>
      </c>
      <c r="C304" s="8" t="s">
        <v>12</v>
      </c>
      <c r="D304" s="6">
        <v>32</v>
      </c>
      <c r="E304" s="2">
        <v>1708.42</v>
      </c>
      <c r="F304" s="2">
        <v>55995.26</v>
      </c>
      <c r="G304" s="8" t="s">
        <v>13</v>
      </c>
      <c r="H304" t="s">
        <v>25</v>
      </c>
      <c r="I304">
        <v>2</v>
      </c>
      <c r="J304" t="s">
        <v>15</v>
      </c>
      <c r="K304" s="8" t="s">
        <v>15</v>
      </c>
      <c r="L304" t="str">
        <f>IF(Table1[[#This Row],[Age]]&lt;25,"Under 25",IF(Table1[[#This Row],[Age]]&lt;35,"25-34",IF(Table1[[#This Row],[Age]]&lt;45,"35-44",IF(Table1[[#This Row],[Age]]&lt;55,"45-54","55+"))))</f>
        <v>45-54</v>
      </c>
    </row>
    <row r="305" spans="1:12" x14ac:dyDescent="0.3">
      <c r="A305" s="8" t="s">
        <v>328</v>
      </c>
      <c r="B305" s="6">
        <v>39</v>
      </c>
      <c r="C305" s="8" t="s">
        <v>12</v>
      </c>
      <c r="D305" s="6">
        <v>3</v>
      </c>
      <c r="E305" s="2">
        <v>948.09</v>
      </c>
      <c r="F305" s="2">
        <v>2894.28</v>
      </c>
      <c r="G305" s="8" t="s">
        <v>13</v>
      </c>
      <c r="H305" t="s">
        <v>14</v>
      </c>
      <c r="I305">
        <v>2</v>
      </c>
      <c r="J305" t="s">
        <v>22</v>
      </c>
      <c r="K305" s="8" t="s">
        <v>15</v>
      </c>
      <c r="L305" t="str">
        <f>IF(Table1[[#This Row],[Age]]&lt;25,"Under 25",IF(Table1[[#This Row],[Age]]&lt;35,"25-34",IF(Table1[[#This Row],[Age]]&lt;45,"35-44",IF(Table1[[#This Row],[Age]]&lt;55,"45-54","55+"))))</f>
        <v>35-44</v>
      </c>
    </row>
    <row r="306" spans="1:12" x14ac:dyDescent="0.3">
      <c r="A306" s="8" t="s">
        <v>329</v>
      </c>
      <c r="B306" s="6">
        <v>45</v>
      </c>
      <c r="C306" s="8" t="s">
        <v>12</v>
      </c>
      <c r="D306" s="6">
        <v>45</v>
      </c>
      <c r="E306" s="2">
        <v>4592.33</v>
      </c>
      <c r="F306" s="2">
        <v>213334.38</v>
      </c>
      <c r="G306" s="8" t="s">
        <v>13</v>
      </c>
      <c r="H306" t="s">
        <v>37</v>
      </c>
      <c r="I306">
        <v>1</v>
      </c>
      <c r="J306" t="s">
        <v>15</v>
      </c>
      <c r="K306" s="8" t="s">
        <v>15</v>
      </c>
      <c r="L306" t="str">
        <f>IF(Table1[[#This Row],[Age]]&lt;25,"Under 25",IF(Table1[[#This Row],[Age]]&lt;35,"25-34",IF(Table1[[#This Row],[Age]]&lt;45,"35-44",IF(Table1[[#This Row],[Age]]&lt;55,"45-54","55+"))))</f>
        <v>45-54</v>
      </c>
    </row>
    <row r="307" spans="1:12" x14ac:dyDescent="0.3">
      <c r="A307" s="8" t="s">
        <v>330</v>
      </c>
      <c r="B307" s="6">
        <v>23</v>
      </c>
      <c r="C307" s="8" t="s">
        <v>17</v>
      </c>
      <c r="D307" s="6">
        <v>43</v>
      </c>
      <c r="E307" s="2">
        <v>4567.1000000000004</v>
      </c>
      <c r="F307" s="2">
        <v>181622.77</v>
      </c>
      <c r="G307" s="8" t="s">
        <v>13</v>
      </c>
      <c r="H307" t="s">
        <v>37</v>
      </c>
      <c r="I307">
        <v>3</v>
      </c>
      <c r="J307" t="s">
        <v>22</v>
      </c>
      <c r="K307" s="8" t="s">
        <v>15</v>
      </c>
      <c r="L307" t="str">
        <f>IF(Table1[[#This Row],[Age]]&lt;25,"Under 25",IF(Table1[[#This Row],[Age]]&lt;35,"25-34",IF(Table1[[#This Row],[Age]]&lt;45,"35-44",IF(Table1[[#This Row],[Age]]&lt;55,"45-54","55+"))))</f>
        <v>Under 25</v>
      </c>
    </row>
    <row r="308" spans="1:12" x14ac:dyDescent="0.3">
      <c r="A308" s="8" t="s">
        <v>331</v>
      </c>
      <c r="B308" s="6">
        <v>63</v>
      </c>
      <c r="C308" s="8" t="s">
        <v>12</v>
      </c>
      <c r="D308" s="6">
        <v>1</v>
      </c>
      <c r="E308" s="2">
        <v>1460.4</v>
      </c>
      <c r="F308" s="2">
        <v>1331.43</v>
      </c>
      <c r="G308" s="8" t="s">
        <v>35</v>
      </c>
      <c r="H308" t="s">
        <v>25</v>
      </c>
      <c r="I308">
        <v>10</v>
      </c>
      <c r="J308" t="s">
        <v>22</v>
      </c>
      <c r="K308" s="8" t="s">
        <v>23</v>
      </c>
      <c r="L308" t="str">
        <f>IF(Table1[[#This Row],[Age]]&lt;25,"Under 25",IF(Table1[[#This Row],[Age]]&lt;35,"25-34",IF(Table1[[#This Row],[Age]]&lt;45,"35-44",IF(Table1[[#This Row],[Age]]&lt;55,"45-54","55+"))))</f>
        <v>55+</v>
      </c>
    </row>
    <row r="309" spans="1:12" x14ac:dyDescent="0.3">
      <c r="A309" s="8" t="s">
        <v>332</v>
      </c>
      <c r="B309" s="6">
        <v>62</v>
      </c>
      <c r="C309" s="8" t="s">
        <v>17</v>
      </c>
      <c r="D309" s="6">
        <v>53</v>
      </c>
      <c r="E309" s="2">
        <v>1042.67</v>
      </c>
      <c r="F309" s="2">
        <v>56866.91</v>
      </c>
      <c r="G309" s="8" t="s">
        <v>35</v>
      </c>
      <c r="H309" t="s">
        <v>46</v>
      </c>
      <c r="I309">
        <v>1</v>
      </c>
      <c r="J309" t="s">
        <v>18</v>
      </c>
      <c r="K309" s="8" t="s">
        <v>15</v>
      </c>
      <c r="L309" t="str">
        <f>IF(Table1[[#This Row],[Age]]&lt;25,"Under 25",IF(Table1[[#This Row],[Age]]&lt;35,"25-34",IF(Table1[[#This Row],[Age]]&lt;45,"35-44",IF(Table1[[#This Row],[Age]]&lt;55,"45-54","55+"))))</f>
        <v>55+</v>
      </c>
    </row>
    <row r="310" spans="1:12" x14ac:dyDescent="0.3">
      <c r="A310" s="8" t="s">
        <v>333</v>
      </c>
      <c r="B310" s="6">
        <v>64</v>
      </c>
      <c r="C310" s="8" t="s">
        <v>12</v>
      </c>
      <c r="D310" s="6">
        <v>7</v>
      </c>
      <c r="E310" s="2">
        <v>1910.08</v>
      </c>
      <c r="F310" s="2">
        <v>13800.4</v>
      </c>
      <c r="G310" s="8" t="s">
        <v>13</v>
      </c>
      <c r="H310" t="s">
        <v>21</v>
      </c>
      <c r="I310">
        <v>10</v>
      </c>
      <c r="J310" t="s">
        <v>15</v>
      </c>
      <c r="K310" s="8" t="s">
        <v>23</v>
      </c>
      <c r="L310" t="str">
        <f>IF(Table1[[#This Row],[Age]]&lt;25,"Under 25",IF(Table1[[#This Row],[Age]]&lt;35,"25-34",IF(Table1[[#This Row],[Age]]&lt;45,"35-44",IF(Table1[[#This Row],[Age]]&lt;55,"45-54","55+"))))</f>
        <v>55+</v>
      </c>
    </row>
    <row r="311" spans="1:12" x14ac:dyDescent="0.3">
      <c r="A311" s="8" t="s">
        <v>334</v>
      </c>
      <c r="B311" s="6">
        <v>51</v>
      </c>
      <c r="C311" s="8" t="s">
        <v>12</v>
      </c>
      <c r="D311" s="6">
        <v>40</v>
      </c>
      <c r="E311" s="2">
        <v>3425.09</v>
      </c>
      <c r="F311" s="2">
        <v>132347.51999999999</v>
      </c>
      <c r="G311" s="8" t="s">
        <v>35</v>
      </c>
      <c r="H311" t="s">
        <v>21</v>
      </c>
      <c r="I311">
        <v>6</v>
      </c>
      <c r="J311" t="s">
        <v>15</v>
      </c>
      <c r="K311" s="8" t="s">
        <v>15</v>
      </c>
      <c r="L311" t="str">
        <f>IF(Table1[[#This Row],[Age]]&lt;25,"Under 25",IF(Table1[[#This Row],[Age]]&lt;35,"25-34",IF(Table1[[#This Row],[Age]]&lt;45,"35-44",IF(Table1[[#This Row],[Age]]&lt;55,"45-54","55+"))))</f>
        <v>45-54</v>
      </c>
    </row>
    <row r="312" spans="1:12" x14ac:dyDescent="0.3">
      <c r="A312" s="8" t="s">
        <v>335</v>
      </c>
      <c r="B312" s="6">
        <v>31</v>
      </c>
      <c r="C312" s="8" t="s">
        <v>12</v>
      </c>
      <c r="D312" s="6">
        <v>58</v>
      </c>
      <c r="E312" s="2">
        <v>952.09</v>
      </c>
      <c r="F312" s="2">
        <v>55931.74</v>
      </c>
      <c r="G312" s="8" t="s">
        <v>35</v>
      </c>
      <c r="H312" t="s">
        <v>46</v>
      </c>
      <c r="I312">
        <v>5</v>
      </c>
      <c r="J312" t="s">
        <v>22</v>
      </c>
      <c r="K312" s="8" t="s">
        <v>15</v>
      </c>
      <c r="L312" t="str">
        <f>IF(Table1[[#This Row],[Age]]&lt;25,"Under 25",IF(Table1[[#This Row],[Age]]&lt;35,"25-34",IF(Table1[[#This Row],[Age]]&lt;45,"35-44",IF(Table1[[#This Row],[Age]]&lt;55,"45-54","55+"))))</f>
        <v>25-34</v>
      </c>
    </row>
    <row r="313" spans="1:12" x14ac:dyDescent="0.3">
      <c r="A313" s="8" t="s">
        <v>336</v>
      </c>
      <c r="B313" s="6">
        <v>26</v>
      </c>
      <c r="C313" s="8" t="s">
        <v>12</v>
      </c>
      <c r="D313" s="6">
        <v>18</v>
      </c>
      <c r="E313" s="2">
        <v>3400.79</v>
      </c>
      <c r="F313" s="2">
        <v>57371.5</v>
      </c>
      <c r="G313" s="8" t="s">
        <v>35</v>
      </c>
      <c r="H313" t="s">
        <v>25</v>
      </c>
      <c r="I313">
        <v>4</v>
      </c>
      <c r="J313" t="s">
        <v>15</v>
      </c>
      <c r="K313" s="8" t="s">
        <v>23</v>
      </c>
      <c r="L313" t="str">
        <f>IF(Table1[[#This Row],[Age]]&lt;25,"Under 25",IF(Table1[[#This Row],[Age]]&lt;35,"25-34",IF(Table1[[#This Row],[Age]]&lt;45,"35-44",IF(Table1[[#This Row],[Age]]&lt;55,"45-54","55+"))))</f>
        <v>25-34</v>
      </c>
    </row>
    <row r="314" spans="1:12" x14ac:dyDescent="0.3">
      <c r="A314" s="8" t="s">
        <v>337</v>
      </c>
      <c r="B314" s="6">
        <v>60</v>
      </c>
      <c r="C314" s="8" t="s">
        <v>17</v>
      </c>
      <c r="D314" s="6">
        <v>14</v>
      </c>
      <c r="E314" s="2">
        <v>2829.87</v>
      </c>
      <c r="F314" s="2">
        <v>38684.32</v>
      </c>
      <c r="G314" s="8" t="s">
        <v>35</v>
      </c>
      <c r="H314" t="s">
        <v>37</v>
      </c>
      <c r="I314">
        <v>10</v>
      </c>
      <c r="J314" t="s">
        <v>18</v>
      </c>
      <c r="K314" s="8" t="s">
        <v>15</v>
      </c>
      <c r="L314" t="str">
        <f>IF(Table1[[#This Row],[Age]]&lt;25,"Under 25",IF(Table1[[#This Row],[Age]]&lt;35,"25-34",IF(Table1[[#This Row],[Age]]&lt;45,"35-44",IF(Table1[[#This Row],[Age]]&lt;55,"45-54","55+"))))</f>
        <v>55+</v>
      </c>
    </row>
    <row r="315" spans="1:12" x14ac:dyDescent="0.3">
      <c r="A315" s="8" t="s">
        <v>338</v>
      </c>
      <c r="B315" s="6">
        <v>33</v>
      </c>
      <c r="C315" s="8" t="s">
        <v>17</v>
      </c>
      <c r="D315" s="6">
        <v>25</v>
      </c>
      <c r="E315" s="2">
        <v>1007.35</v>
      </c>
      <c r="F315" s="2">
        <v>24552.58</v>
      </c>
      <c r="G315" s="8" t="s">
        <v>35</v>
      </c>
      <c r="H315" t="s">
        <v>25</v>
      </c>
      <c r="I315">
        <v>0</v>
      </c>
      <c r="J315" t="s">
        <v>22</v>
      </c>
      <c r="K315" s="8" t="s">
        <v>15</v>
      </c>
      <c r="L315" t="str">
        <f>IF(Table1[[#This Row],[Age]]&lt;25,"Under 25",IF(Table1[[#This Row],[Age]]&lt;35,"25-34",IF(Table1[[#This Row],[Age]]&lt;45,"35-44",IF(Table1[[#This Row],[Age]]&lt;55,"45-54","55+"))))</f>
        <v>25-34</v>
      </c>
    </row>
    <row r="316" spans="1:12" x14ac:dyDescent="0.3">
      <c r="A316" s="8" t="s">
        <v>339</v>
      </c>
      <c r="B316" s="6">
        <v>26</v>
      </c>
      <c r="C316" s="8" t="s">
        <v>17</v>
      </c>
      <c r="D316" s="6">
        <v>56</v>
      </c>
      <c r="E316" s="2">
        <v>4275.38</v>
      </c>
      <c r="F316" s="2">
        <v>230593.7</v>
      </c>
      <c r="G316" s="8" t="s">
        <v>13</v>
      </c>
      <c r="H316" t="s">
        <v>21</v>
      </c>
      <c r="I316">
        <v>7</v>
      </c>
      <c r="J316" t="s">
        <v>18</v>
      </c>
      <c r="K316" s="8" t="s">
        <v>23</v>
      </c>
      <c r="L316" t="str">
        <f>IF(Table1[[#This Row],[Age]]&lt;25,"Under 25",IF(Table1[[#This Row],[Age]]&lt;35,"25-34",IF(Table1[[#This Row],[Age]]&lt;45,"35-44",IF(Table1[[#This Row],[Age]]&lt;55,"45-54","55+"))))</f>
        <v>25-34</v>
      </c>
    </row>
    <row r="317" spans="1:12" x14ac:dyDescent="0.3">
      <c r="A317" s="8" t="s">
        <v>340</v>
      </c>
      <c r="B317" s="6">
        <v>22</v>
      </c>
      <c r="C317" s="8" t="s">
        <v>12</v>
      </c>
      <c r="D317" s="6">
        <v>17</v>
      </c>
      <c r="E317" s="2">
        <v>1470.84</v>
      </c>
      <c r="F317" s="2">
        <v>25964.12</v>
      </c>
      <c r="G317" s="8" t="s">
        <v>20</v>
      </c>
      <c r="H317" t="s">
        <v>46</v>
      </c>
      <c r="I317">
        <v>8</v>
      </c>
      <c r="J317" t="s">
        <v>22</v>
      </c>
      <c r="K317" s="8" t="s">
        <v>15</v>
      </c>
      <c r="L317" t="str">
        <f>IF(Table1[[#This Row],[Age]]&lt;25,"Under 25",IF(Table1[[#This Row],[Age]]&lt;35,"25-34",IF(Table1[[#This Row],[Age]]&lt;45,"35-44",IF(Table1[[#This Row],[Age]]&lt;55,"45-54","55+"))))</f>
        <v>Under 25</v>
      </c>
    </row>
    <row r="318" spans="1:12" x14ac:dyDescent="0.3">
      <c r="A318" s="8" t="s">
        <v>341</v>
      </c>
      <c r="B318" s="6">
        <v>50</v>
      </c>
      <c r="C318" s="8" t="s">
        <v>17</v>
      </c>
      <c r="D318" s="6">
        <v>28</v>
      </c>
      <c r="E318" s="2">
        <v>3658.15</v>
      </c>
      <c r="F318" s="2">
        <v>93451.82</v>
      </c>
      <c r="G318" s="8" t="s">
        <v>13</v>
      </c>
      <c r="H318" t="s">
        <v>25</v>
      </c>
      <c r="I318">
        <v>2</v>
      </c>
      <c r="J318" t="s">
        <v>22</v>
      </c>
      <c r="K318" s="8" t="s">
        <v>23</v>
      </c>
      <c r="L318" t="str">
        <f>IF(Table1[[#This Row],[Age]]&lt;25,"Under 25",IF(Table1[[#This Row],[Age]]&lt;35,"25-34",IF(Table1[[#This Row],[Age]]&lt;45,"35-44",IF(Table1[[#This Row],[Age]]&lt;55,"45-54","55+"))))</f>
        <v>45-54</v>
      </c>
    </row>
    <row r="319" spans="1:12" x14ac:dyDescent="0.3">
      <c r="A319" s="8" t="s">
        <v>342</v>
      </c>
      <c r="B319" s="6">
        <v>23</v>
      </c>
      <c r="C319" s="8" t="s">
        <v>12</v>
      </c>
      <c r="D319" s="6">
        <v>52</v>
      </c>
      <c r="E319" s="2">
        <v>1199.2</v>
      </c>
      <c r="F319" s="2">
        <v>59178.9</v>
      </c>
      <c r="G319" s="8" t="s">
        <v>35</v>
      </c>
      <c r="H319" t="s">
        <v>14</v>
      </c>
      <c r="I319">
        <v>4</v>
      </c>
      <c r="J319" t="s">
        <v>15</v>
      </c>
      <c r="K319" s="8" t="s">
        <v>15</v>
      </c>
      <c r="L319" t="str">
        <f>IF(Table1[[#This Row],[Age]]&lt;25,"Under 25",IF(Table1[[#This Row],[Age]]&lt;35,"25-34",IF(Table1[[#This Row],[Age]]&lt;45,"35-44",IF(Table1[[#This Row],[Age]]&lt;55,"45-54","55+"))))</f>
        <v>Under 25</v>
      </c>
    </row>
    <row r="320" spans="1:12" x14ac:dyDescent="0.3">
      <c r="A320" s="8" t="s">
        <v>343</v>
      </c>
      <c r="B320" s="6">
        <v>33</v>
      </c>
      <c r="C320" s="8" t="s">
        <v>12</v>
      </c>
      <c r="D320" s="6">
        <v>16</v>
      </c>
      <c r="E320" s="2">
        <v>887.96</v>
      </c>
      <c r="F320" s="2">
        <v>13712.55</v>
      </c>
      <c r="G320" s="8" t="s">
        <v>13</v>
      </c>
      <c r="H320" t="s">
        <v>25</v>
      </c>
      <c r="I320">
        <v>0</v>
      </c>
      <c r="J320" t="s">
        <v>22</v>
      </c>
      <c r="K320" s="8" t="s">
        <v>15</v>
      </c>
      <c r="L320" t="str">
        <f>IF(Table1[[#This Row],[Age]]&lt;25,"Under 25",IF(Table1[[#This Row],[Age]]&lt;35,"25-34",IF(Table1[[#This Row],[Age]]&lt;45,"35-44",IF(Table1[[#This Row],[Age]]&lt;55,"45-54","55+"))))</f>
        <v>25-34</v>
      </c>
    </row>
    <row r="321" spans="1:12" x14ac:dyDescent="0.3">
      <c r="A321" s="8" t="s">
        <v>344</v>
      </c>
      <c r="B321" s="6">
        <v>60</v>
      </c>
      <c r="C321" s="8" t="s">
        <v>12</v>
      </c>
      <c r="D321" s="6">
        <v>8</v>
      </c>
      <c r="E321" s="2">
        <v>556.99</v>
      </c>
      <c r="F321" s="2">
        <v>4102.04</v>
      </c>
      <c r="G321" s="8" t="s">
        <v>13</v>
      </c>
      <c r="H321" t="s">
        <v>46</v>
      </c>
      <c r="I321">
        <v>5</v>
      </c>
      <c r="J321" t="s">
        <v>15</v>
      </c>
      <c r="K321" s="8" t="s">
        <v>23</v>
      </c>
      <c r="L321" t="str">
        <f>IF(Table1[[#This Row],[Age]]&lt;25,"Under 25",IF(Table1[[#This Row],[Age]]&lt;35,"25-34",IF(Table1[[#This Row],[Age]]&lt;45,"35-44",IF(Table1[[#This Row],[Age]]&lt;55,"45-54","55+"))))</f>
        <v>55+</v>
      </c>
    </row>
    <row r="322" spans="1:12" x14ac:dyDescent="0.3">
      <c r="A322" s="8" t="s">
        <v>345</v>
      </c>
      <c r="B322" s="6">
        <v>64</v>
      </c>
      <c r="C322" s="8" t="s">
        <v>17</v>
      </c>
      <c r="D322" s="6">
        <v>11</v>
      </c>
      <c r="E322" s="2">
        <v>2173.41</v>
      </c>
      <c r="F322" s="2">
        <v>24205.55</v>
      </c>
      <c r="G322" s="8" t="s">
        <v>20</v>
      </c>
      <c r="H322" t="s">
        <v>14</v>
      </c>
      <c r="I322">
        <v>0</v>
      </c>
      <c r="J322" t="s">
        <v>22</v>
      </c>
      <c r="K322" s="8" t="s">
        <v>15</v>
      </c>
      <c r="L322" t="str">
        <f>IF(Table1[[#This Row],[Age]]&lt;25,"Under 25",IF(Table1[[#This Row],[Age]]&lt;35,"25-34",IF(Table1[[#This Row],[Age]]&lt;45,"35-44",IF(Table1[[#This Row],[Age]]&lt;55,"45-54","55+"))))</f>
        <v>55+</v>
      </c>
    </row>
    <row r="323" spans="1:12" x14ac:dyDescent="0.3">
      <c r="A323" s="8" t="s">
        <v>346</v>
      </c>
      <c r="B323" s="6">
        <v>35</v>
      </c>
      <c r="C323" s="8" t="s">
        <v>12</v>
      </c>
      <c r="D323" s="6">
        <v>17</v>
      </c>
      <c r="E323" s="2">
        <v>3705.45</v>
      </c>
      <c r="F323" s="2">
        <v>62142.11</v>
      </c>
      <c r="G323" s="8" t="s">
        <v>13</v>
      </c>
      <c r="H323" t="s">
        <v>46</v>
      </c>
      <c r="I323">
        <v>8</v>
      </c>
      <c r="J323" t="s">
        <v>22</v>
      </c>
      <c r="K323" s="8" t="s">
        <v>23</v>
      </c>
      <c r="L323" t="str">
        <f>IF(Table1[[#This Row],[Age]]&lt;25,"Under 25",IF(Table1[[#This Row],[Age]]&lt;35,"25-34",IF(Table1[[#This Row],[Age]]&lt;45,"35-44",IF(Table1[[#This Row],[Age]]&lt;55,"45-54","55+"))))</f>
        <v>35-44</v>
      </c>
    </row>
    <row r="324" spans="1:12" x14ac:dyDescent="0.3">
      <c r="A324" s="8" t="s">
        <v>347</v>
      </c>
      <c r="B324" s="6">
        <v>54</v>
      </c>
      <c r="C324" s="8" t="s">
        <v>12</v>
      </c>
      <c r="D324" s="6">
        <v>24</v>
      </c>
      <c r="E324" s="2">
        <v>1207.8900000000001</v>
      </c>
      <c r="F324" s="2">
        <v>29453.17</v>
      </c>
      <c r="G324" s="8" t="s">
        <v>20</v>
      </c>
      <c r="H324" t="s">
        <v>14</v>
      </c>
      <c r="I324">
        <v>3</v>
      </c>
      <c r="J324" t="s">
        <v>15</v>
      </c>
      <c r="K324" s="8" t="s">
        <v>15</v>
      </c>
      <c r="L324" t="str">
        <f>IF(Table1[[#This Row],[Age]]&lt;25,"Under 25",IF(Table1[[#This Row],[Age]]&lt;35,"25-34",IF(Table1[[#This Row],[Age]]&lt;45,"35-44",IF(Table1[[#This Row],[Age]]&lt;55,"45-54","55+"))))</f>
        <v>45-54</v>
      </c>
    </row>
    <row r="325" spans="1:12" x14ac:dyDescent="0.3">
      <c r="A325" s="8" t="s">
        <v>348</v>
      </c>
      <c r="B325" s="6">
        <v>20</v>
      </c>
      <c r="C325" s="8" t="s">
        <v>12</v>
      </c>
      <c r="D325" s="6">
        <v>16</v>
      </c>
      <c r="E325" s="2">
        <v>706.92</v>
      </c>
      <c r="F325" s="2">
        <v>10797.17</v>
      </c>
      <c r="G325" s="8" t="s">
        <v>20</v>
      </c>
      <c r="H325" t="s">
        <v>21</v>
      </c>
      <c r="I325">
        <v>0</v>
      </c>
      <c r="J325" t="s">
        <v>15</v>
      </c>
      <c r="K325" s="8" t="s">
        <v>15</v>
      </c>
      <c r="L325" t="str">
        <f>IF(Table1[[#This Row],[Age]]&lt;25,"Under 25",IF(Table1[[#This Row],[Age]]&lt;35,"25-34",IF(Table1[[#This Row],[Age]]&lt;45,"35-44",IF(Table1[[#This Row],[Age]]&lt;55,"45-54","55+"))))</f>
        <v>Under 25</v>
      </c>
    </row>
    <row r="326" spans="1:12" x14ac:dyDescent="0.3">
      <c r="A326" s="8" t="s">
        <v>349</v>
      </c>
      <c r="B326" s="6">
        <v>63</v>
      </c>
      <c r="C326" s="8" t="s">
        <v>17</v>
      </c>
      <c r="D326" s="6">
        <v>15</v>
      </c>
      <c r="E326" s="2">
        <v>1948.11</v>
      </c>
      <c r="F326" s="2">
        <v>28124.04</v>
      </c>
      <c r="G326" s="8" t="s">
        <v>35</v>
      </c>
      <c r="H326" t="s">
        <v>37</v>
      </c>
      <c r="I326">
        <v>1</v>
      </c>
      <c r="J326" t="s">
        <v>15</v>
      </c>
      <c r="K326" s="8" t="s">
        <v>15</v>
      </c>
      <c r="L326" t="str">
        <f>IF(Table1[[#This Row],[Age]]&lt;25,"Under 25",IF(Table1[[#This Row],[Age]]&lt;35,"25-34",IF(Table1[[#This Row],[Age]]&lt;45,"35-44",IF(Table1[[#This Row],[Age]]&lt;55,"45-54","55+"))))</f>
        <v>55+</v>
      </c>
    </row>
    <row r="327" spans="1:12" x14ac:dyDescent="0.3">
      <c r="A327" s="8" t="s">
        <v>350</v>
      </c>
      <c r="B327" s="6">
        <v>50</v>
      </c>
      <c r="C327" s="8" t="s">
        <v>12</v>
      </c>
      <c r="D327" s="6">
        <v>12</v>
      </c>
      <c r="E327" s="2">
        <v>1504.33</v>
      </c>
      <c r="F327" s="2">
        <v>17643.37</v>
      </c>
      <c r="G327" s="8" t="s">
        <v>13</v>
      </c>
      <c r="H327" t="s">
        <v>46</v>
      </c>
      <c r="I327">
        <v>1</v>
      </c>
      <c r="J327" t="s">
        <v>22</v>
      </c>
      <c r="K327" s="8" t="s">
        <v>15</v>
      </c>
      <c r="L327" t="str">
        <f>IF(Table1[[#This Row],[Age]]&lt;25,"Under 25",IF(Table1[[#This Row],[Age]]&lt;35,"25-34",IF(Table1[[#This Row],[Age]]&lt;45,"35-44",IF(Table1[[#This Row],[Age]]&lt;55,"45-54","55+"))))</f>
        <v>45-54</v>
      </c>
    </row>
    <row r="328" spans="1:12" x14ac:dyDescent="0.3">
      <c r="A328" s="8" t="s">
        <v>351</v>
      </c>
      <c r="B328" s="6">
        <v>37</v>
      </c>
      <c r="C328" s="8" t="s">
        <v>17</v>
      </c>
      <c r="D328" s="6">
        <v>6</v>
      </c>
      <c r="E328" s="2">
        <v>2988.91</v>
      </c>
      <c r="F328" s="2">
        <v>16161.55</v>
      </c>
      <c r="G328" s="8" t="s">
        <v>13</v>
      </c>
      <c r="H328" t="s">
        <v>25</v>
      </c>
      <c r="I328">
        <v>4</v>
      </c>
      <c r="J328" t="s">
        <v>15</v>
      </c>
      <c r="K328" s="8" t="s">
        <v>15</v>
      </c>
      <c r="L328" t="str">
        <f>IF(Table1[[#This Row],[Age]]&lt;25,"Under 25",IF(Table1[[#This Row],[Age]]&lt;35,"25-34",IF(Table1[[#This Row],[Age]]&lt;45,"35-44",IF(Table1[[#This Row],[Age]]&lt;55,"45-54","55+"))))</f>
        <v>35-44</v>
      </c>
    </row>
    <row r="329" spans="1:12" x14ac:dyDescent="0.3">
      <c r="A329" s="8" t="s">
        <v>352</v>
      </c>
      <c r="B329" s="6">
        <v>47</v>
      </c>
      <c r="C329" s="8" t="s">
        <v>17</v>
      </c>
      <c r="D329" s="6">
        <v>38</v>
      </c>
      <c r="E329" s="2">
        <v>4873.3599999999997</v>
      </c>
      <c r="F329" s="2">
        <v>194385.59</v>
      </c>
      <c r="G329" s="8" t="s">
        <v>35</v>
      </c>
      <c r="H329" t="s">
        <v>25</v>
      </c>
      <c r="I329">
        <v>3</v>
      </c>
      <c r="J329" t="s">
        <v>18</v>
      </c>
      <c r="K329" s="8" t="s">
        <v>23</v>
      </c>
      <c r="L329" t="str">
        <f>IF(Table1[[#This Row],[Age]]&lt;25,"Under 25",IF(Table1[[#This Row],[Age]]&lt;35,"25-34",IF(Table1[[#This Row],[Age]]&lt;45,"35-44",IF(Table1[[#This Row],[Age]]&lt;55,"45-54","55+"))))</f>
        <v>45-54</v>
      </c>
    </row>
    <row r="330" spans="1:12" x14ac:dyDescent="0.3">
      <c r="A330" s="8" t="s">
        <v>353</v>
      </c>
      <c r="B330" s="6">
        <v>44</v>
      </c>
      <c r="C330" s="8" t="s">
        <v>12</v>
      </c>
      <c r="D330" s="6">
        <v>15</v>
      </c>
      <c r="E330" s="2">
        <v>2936.95</v>
      </c>
      <c r="F330" s="2">
        <v>43851.22</v>
      </c>
      <c r="G330" s="8" t="s">
        <v>35</v>
      </c>
      <c r="H330" t="s">
        <v>14</v>
      </c>
      <c r="I330">
        <v>5</v>
      </c>
      <c r="J330" t="s">
        <v>18</v>
      </c>
      <c r="K330" s="8" t="s">
        <v>15</v>
      </c>
      <c r="L330" t="str">
        <f>IF(Table1[[#This Row],[Age]]&lt;25,"Under 25",IF(Table1[[#This Row],[Age]]&lt;35,"25-34",IF(Table1[[#This Row],[Age]]&lt;45,"35-44",IF(Table1[[#This Row],[Age]]&lt;55,"45-54","55+"))))</f>
        <v>35-44</v>
      </c>
    </row>
    <row r="331" spans="1:12" x14ac:dyDescent="0.3">
      <c r="A331" s="8" t="s">
        <v>354</v>
      </c>
      <c r="B331" s="6">
        <v>42</v>
      </c>
      <c r="C331" s="8" t="s">
        <v>17</v>
      </c>
      <c r="D331" s="6">
        <v>7</v>
      </c>
      <c r="E331" s="2">
        <v>1423.37</v>
      </c>
      <c r="F331" s="2">
        <v>10436.540000000001</v>
      </c>
      <c r="G331" s="8" t="s">
        <v>13</v>
      </c>
      <c r="H331" t="s">
        <v>14</v>
      </c>
      <c r="I331">
        <v>2</v>
      </c>
      <c r="J331" t="s">
        <v>15</v>
      </c>
      <c r="K331" s="8" t="s">
        <v>23</v>
      </c>
      <c r="L331" t="str">
        <f>IF(Table1[[#This Row],[Age]]&lt;25,"Under 25",IF(Table1[[#This Row],[Age]]&lt;35,"25-34",IF(Table1[[#This Row],[Age]]&lt;45,"35-44",IF(Table1[[#This Row],[Age]]&lt;55,"45-54","55+"))))</f>
        <v>35-44</v>
      </c>
    </row>
    <row r="332" spans="1:12" x14ac:dyDescent="0.3">
      <c r="A332" s="8" t="s">
        <v>355</v>
      </c>
      <c r="B332" s="6">
        <v>20</v>
      </c>
      <c r="C332" s="8" t="s">
        <v>12</v>
      </c>
      <c r="D332" s="6">
        <v>58</v>
      </c>
      <c r="E332" s="2">
        <v>4304.7700000000004</v>
      </c>
      <c r="F332" s="2">
        <v>240178.59</v>
      </c>
      <c r="G332" s="8" t="s">
        <v>20</v>
      </c>
      <c r="H332" t="s">
        <v>46</v>
      </c>
      <c r="I332">
        <v>1</v>
      </c>
      <c r="J332" t="s">
        <v>15</v>
      </c>
      <c r="K332" s="8" t="s">
        <v>23</v>
      </c>
      <c r="L332" t="str">
        <f>IF(Table1[[#This Row],[Age]]&lt;25,"Under 25",IF(Table1[[#This Row],[Age]]&lt;35,"25-34",IF(Table1[[#This Row],[Age]]&lt;45,"35-44",IF(Table1[[#This Row],[Age]]&lt;55,"45-54","55+"))))</f>
        <v>Under 25</v>
      </c>
    </row>
    <row r="333" spans="1:12" x14ac:dyDescent="0.3">
      <c r="A333" s="8" t="s">
        <v>356</v>
      </c>
      <c r="B333" s="6">
        <v>26</v>
      </c>
      <c r="C333" s="8" t="s">
        <v>17</v>
      </c>
      <c r="D333" s="6">
        <v>5</v>
      </c>
      <c r="E333" s="2">
        <v>3163.53</v>
      </c>
      <c r="F333" s="2">
        <v>14383.66</v>
      </c>
      <c r="G333" s="8" t="s">
        <v>35</v>
      </c>
      <c r="H333" t="s">
        <v>21</v>
      </c>
      <c r="I333">
        <v>3</v>
      </c>
      <c r="J333" t="s">
        <v>22</v>
      </c>
      <c r="K333" s="8" t="s">
        <v>23</v>
      </c>
      <c r="L333" t="str">
        <f>IF(Table1[[#This Row],[Age]]&lt;25,"Under 25",IF(Table1[[#This Row],[Age]]&lt;35,"25-34",IF(Table1[[#This Row],[Age]]&lt;45,"35-44",IF(Table1[[#This Row],[Age]]&lt;55,"45-54","55+"))))</f>
        <v>25-34</v>
      </c>
    </row>
    <row r="334" spans="1:12" x14ac:dyDescent="0.3">
      <c r="A334" s="8" t="s">
        <v>357</v>
      </c>
      <c r="B334" s="6">
        <v>38</v>
      </c>
      <c r="C334" s="8" t="s">
        <v>17</v>
      </c>
      <c r="D334" s="6">
        <v>45</v>
      </c>
      <c r="E334" s="2">
        <v>4243.55</v>
      </c>
      <c r="F334" s="2">
        <v>181208.91</v>
      </c>
      <c r="G334" s="8" t="s">
        <v>13</v>
      </c>
      <c r="H334" t="s">
        <v>21</v>
      </c>
      <c r="I334">
        <v>1</v>
      </c>
      <c r="J334" t="s">
        <v>18</v>
      </c>
      <c r="K334" s="8" t="s">
        <v>23</v>
      </c>
      <c r="L334" t="str">
        <f>IF(Table1[[#This Row],[Age]]&lt;25,"Under 25",IF(Table1[[#This Row],[Age]]&lt;35,"25-34",IF(Table1[[#This Row],[Age]]&lt;45,"35-44",IF(Table1[[#This Row],[Age]]&lt;55,"45-54","55+"))))</f>
        <v>35-44</v>
      </c>
    </row>
    <row r="335" spans="1:12" x14ac:dyDescent="0.3">
      <c r="A335" s="8" t="s">
        <v>358</v>
      </c>
      <c r="B335" s="6">
        <v>55</v>
      </c>
      <c r="C335" s="8" t="s">
        <v>12</v>
      </c>
      <c r="D335" s="6">
        <v>10</v>
      </c>
      <c r="E335" s="2">
        <v>975.46</v>
      </c>
      <c r="F335" s="2">
        <v>9436.94</v>
      </c>
      <c r="G335" s="8" t="s">
        <v>13</v>
      </c>
      <c r="H335" t="s">
        <v>14</v>
      </c>
      <c r="I335">
        <v>8</v>
      </c>
      <c r="J335" t="s">
        <v>22</v>
      </c>
      <c r="K335" s="8" t="s">
        <v>15</v>
      </c>
      <c r="L335" t="str">
        <f>IF(Table1[[#This Row],[Age]]&lt;25,"Under 25",IF(Table1[[#This Row],[Age]]&lt;35,"25-34",IF(Table1[[#This Row],[Age]]&lt;45,"35-44",IF(Table1[[#This Row],[Age]]&lt;55,"45-54","55+"))))</f>
        <v>55+</v>
      </c>
    </row>
    <row r="336" spans="1:12" x14ac:dyDescent="0.3">
      <c r="A336" s="8" t="s">
        <v>359</v>
      </c>
      <c r="B336" s="6">
        <v>31</v>
      </c>
      <c r="C336" s="8" t="s">
        <v>17</v>
      </c>
      <c r="D336" s="6">
        <v>20</v>
      </c>
      <c r="E336" s="2">
        <v>2585.06</v>
      </c>
      <c r="F336" s="2">
        <v>53142.23</v>
      </c>
      <c r="G336" s="8" t="s">
        <v>13</v>
      </c>
      <c r="H336" t="s">
        <v>37</v>
      </c>
      <c r="I336">
        <v>9</v>
      </c>
      <c r="J336" t="s">
        <v>18</v>
      </c>
      <c r="K336" s="8" t="s">
        <v>23</v>
      </c>
      <c r="L336" t="str">
        <f>IF(Table1[[#This Row],[Age]]&lt;25,"Under 25",IF(Table1[[#This Row],[Age]]&lt;35,"25-34",IF(Table1[[#This Row],[Age]]&lt;45,"35-44",IF(Table1[[#This Row],[Age]]&lt;55,"45-54","55+"))))</f>
        <v>25-34</v>
      </c>
    </row>
    <row r="337" spans="1:12" x14ac:dyDescent="0.3">
      <c r="A337" s="8" t="s">
        <v>360</v>
      </c>
      <c r="B337" s="6">
        <v>38</v>
      </c>
      <c r="C337" s="8" t="s">
        <v>12</v>
      </c>
      <c r="D337" s="6">
        <v>6</v>
      </c>
      <c r="E337" s="2">
        <v>3700.21</v>
      </c>
      <c r="F337" s="2">
        <v>23206.09</v>
      </c>
      <c r="G337" s="8" t="s">
        <v>13</v>
      </c>
      <c r="H337" t="s">
        <v>14</v>
      </c>
      <c r="I337">
        <v>10</v>
      </c>
      <c r="J337" t="s">
        <v>22</v>
      </c>
      <c r="K337" s="8" t="s">
        <v>23</v>
      </c>
      <c r="L337" t="str">
        <f>IF(Table1[[#This Row],[Age]]&lt;25,"Under 25",IF(Table1[[#This Row],[Age]]&lt;35,"25-34",IF(Table1[[#This Row],[Age]]&lt;45,"35-44",IF(Table1[[#This Row],[Age]]&lt;55,"45-54","55+"))))</f>
        <v>35-44</v>
      </c>
    </row>
    <row r="338" spans="1:12" x14ac:dyDescent="0.3">
      <c r="A338" s="8" t="s">
        <v>361</v>
      </c>
      <c r="B338" s="6">
        <v>29</v>
      </c>
      <c r="C338" s="8" t="s">
        <v>12</v>
      </c>
      <c r="D338" s="6">
        <v>26</v>
      </c>
      <c r="E338" s="2">
        <v>4345.71</v>
      </c>
      <c r="F338" s="2">
        <v>111112.07</v>
      </c>
      <c r="G338" s="8" t="s">
        <v>35</v>
      </c>
      <c r="H338" t="s">
        <v>14</v>
      </c>
      <c r="I338">
        <v>7</v>
      </c>
      <c r="J338" t="s">
        <v>18</v>
      </c>
      <c r="K338" s="8" t="s">
        <v>15</v>
      </c>
      <c r="L338" t="str">
        <f>IF(Table1[[#This Row],[Age]]&lt;25,"Under 25",IF(Table1[[#This Row],[Age]]&lt;35,"25-34",IF(Table1[[#This Row],[Age]]&lt;45,"35-44",IF(Table1[[#This Row],[Age]]&lt;55,"45-54","55+"))))</f>
        <v>25-34</v>
      </c>
    </row>
    <row r="339" spans="1:12" x14ac:dyDescent="0.3">
      <c r="A339" s="8" t="s">
        <v>362</v>
      </c>
      <c r="B339" s="6">
        <v>26</v>
      </c>
      <c r="C339" s="8" t="s">
        <v>12</v>
      </c>
      <c r="D339" s="6">
        <v>1</v>
      </c>
      <c r="E339" s="2">
        <v>777.51</v>
      </c>
      <c r="F339" s="2">
        <v>790.84</v>
      </c>
      <c r="G339" s="8" t="s">
        <v>13</v>
      </c>
      <c r="H339" t="s">
        <v>21</v>
      </c>
      <c r="I339">
        <v>6</v>
      </c>
      <c r="J339" t="s">
        <v>22</v>
      </c>
      <c r="K339" s="8" t="s">
        <v>15</v>
      </c>
      <c r="L339" t="str">
        <f>IF(Table1[[#This Row],[Age]]&lt;25,"Under 25",IF(Table1[[#This Row],[Age]]&lt;35,"25-34",IF(Table1[[#This Row],[Age]]&lt;45,"35-44",IF(Table1[[#This Row],[Age]]&lt;55,"45-54","55+"))))</f>
        <v>25-34</v>
      </c>
    </row>
    <row r="340" spans="1:12" x14ac:dyDescent="0.3">
      <c r="A340" s="8" t="s">
        <v>363</v>
      </c>
      <c r="B340" s="6">
        <v>59</v>
      </c>
      <c r="C340" s="8" t="s">
        <v>12</v>
      </c>
      <c r="D340" s="6">
        <v>38</v>
      </c>
      <c r="E340" s="2">
        <v>3137.53</v>
      </c>
      <c r="F340" s="2">
        <v>123710.75</v>
      </c>
      <c r="G340" s="8" t="s">
        <v>13</v>
      </c>
      <c r="H340" t="s">
        <v>14</v>
      </c>
      <c r="I340">
        <v>3</v>
      </c>
      <c r="J340" t="s">
        <v>15</v>
      </c>
      <c r="K340" s="8" t="s">
        <v>15</v>
      </c>
      <c r="L340" t="str">
        <f>IF(Table1[[#This Row],[Age]]&lt;25,"Under 25",IF(Table1[[#This Row],[Age]]&lt;35,"25-34",IF(Table1[[#This Row],[Age]]&lt;45,"35-44",IF(Table1[[#This Row],[Age]]&lt;55,"45-54","55+"))))</f>
        <v>55+</v>
      </c>
    </row>
    <row r="341" spans="1:12" x14ac:dyDescent="0.3">
      <c r="A341" s="8" t="s">
        <v>364</v>
      </c>
      <c r="B341" s="6">
        <v>26</v>
      </c>
      <c r="C341" s="8" t="s">
        <v>12</v>
      </c>
      <c r="D341" s="6">
        <v>58</v>
      </c>
      <c r="E341" s="2">
        <v>4312.74</v>
      </c>
      <c r="F341" s="2">
        <v>255475.15</v>
      </c>
      <c r="G341" s="8" t="s">
        <v>13</v>
      </c>
      <c r="H341" t="s">
        <v>46</v>
      </c>
      <c r="I341">
        <v>0</v>
      </c>
      <c r="J341" t="s">
        <v>18</v>
      </c>
      <c r="K341" s="8" t="s">
        <v>15</v>
      </c>
      <c r="L341" t="str">
        <f>IF(Table1[[#This Row],[Age]]&lt;25,"Under 25",IF(Table1[[#This Row],[Age]]&lt;35,"25-34",IF(Table1[[#This Row],[Age]]&lt;45,"35-44",IF(Table1[[#This Row],[Age]]&lt;55,"45-54","55+"))))</f>
        <v>25-34</v>
      </c>
    </row>
    <row r="342" spans="1:12" x14ac:dyDescent="0.3">
      <c r="A342" s="8" t="s">
        <v>365</v>
      </c>
      <c r="B342" s="6">
        <v>45</v>
      </c>
      <c r="C342" s="8" t="s">
        <v>17</v>
      </c>
      <c r="D342" s="6">
        <v>32</v>
      </c>
      <c r="E342" s="2">
        <v>632.66999999999996</v>
      </c>
      <c r="F342" s="2">
        <v>20295.689999999999</v>
      </c>
      <c r="G342" s="8" t="s">
        <v>13</v>
      </c>
      <c r="H342" t="s">
        <v>21</v>
      </c>
      <c r="I342">
        <v>2</v>
      </c>
      <c r="J342" t="s">
        <v>22</v>
      </c>
      <c r="K342" s="8" t="s">
        <v>23</v>
      </c>
      <c r="L342" t="str">
        <f>IF(Table1[[#This Row],[Age]]&lt;25,"Under 25",IF(Table1[[#This Row],[Age]]&lt;35,"25-34",IF(Table1[[#This Row],[Age]]&lt;45,"35-44",IF(Table1[[#This Row],[Age]]&lt;55,"45-54","55+"))))</f>
        <v>45-54</v>
      </c>
    </row>
    <row r="343" spans="1:12" x14ac:dyDescent="0.3">
      <c r="A343" s="8" t="s">
        <v>366</v>
      </c>
      <c r="B343" s="6">
        <v>27</v>
      </c>
      <c r="C343" s="8" t="s">
        <v>12</v>
      </c>
      <c r="D343" s="6">
        <v>40</v>
      </c>
      <c r="E343" s="2">
        <v>3286.29</v>
      </c>
      <c r="F343" s="2">
        <v>123152.76</v>
      </c>
      <c r="G343" s="8" t="s">
        <v>13</v>
      </c>
      <c r="H343" t="s">
        <v>46</v>
      </c>
      <c r="I343">
        <v>8</v>
      </c>
      <c r="J343" t="s">
        <v>22</v>
      </c>
      <c r="K343" s="8" t="s">
        <v>23</v>
      </c>
      <c r="L343" t="str">
        <f>IF(Table1[[#This Row],[Age]]&lt;25,"Under 25",IF(Table1[[#This Row],[Age]]&lt;35,"25-34",IF(Table1[[#This Row],[Age]]&lt;45,"35-44",IF(Table1[[#This Row],[Age]]&lt;55,"45-54","55+"))))</f>
        <v>25-34</v>
      </c>
    </row>
    <row r="344" spans="1:12" x14ac:dyDescent="0.3">
      <c r="A344" s="8" t="s">
        <v>367</v>
      </c>
      <c r="B344" s="6">
        <v>35</v>
      </c>
      <c r="C344" s="8" t="s">
        <v>17</v>
      </c>
      <c r="D344" s="6">
        <v>9</v>
      </c>
      <c r="E344" s="2">
        <v>2386.56</v>
      </c>
      <c r="F344" s="2">
        <v>21401.67</v>
      </c>
      <c r="G344" s="8" t="s">
        <v>35</v>
      </c>
      <c r="H344" t="s">
        <v>21</v>
      </c>
      <c r="I344">
        <v>10</v>
      </c>
      <c r="J344" t="s">
        <v>15</v>
      </c>
      <c r="K344" s="8" t="s">
        <v>15</v>
      </c>
      <c r="L344" t="str">
        <f>IF(Table1[[#This Row],[Age]]&lt;25,"Under 25",IF(Table1[[#This Row],[Age]]&lt;35,"25-34",IF(Table1[[#This Row],[Age]]&lt;45,"35-44",IF(Table1[[#This Row],[Age]]&lt;55,"45-54","55+"))))</f>
        <v>35-44</v>
      </c>
    </row>
    <row r="345" spans="1:12" x14ac:dyDescent="0.3">
      <c r="A345" s="8" t="s">
        <v>368</v>
      </c>
      <c r="B345" s="6">
        <v>42</v>
      </c>
      <c r="C345" s="8" t="s">
        <v>17</v>
      </c>
      <c r="D345" s="6">
        <v>31</v>
      </c>
      <c r="E345" s="2">
        <v>2950.33</v>
      </c>
      <c r="F345" s="2">
        <v>88963.54</v>
      </c>
      <c r="G345" s="8" t="s">
        <v>20</v>
      </c>
      <c r="H345" t="s">
        <v>25</v>
      </c>
      <c r="I345">
        <v>5</v>
      </c>
      <c r="J345" t="s">
        <v>22</v>
      </c>
      <c r="K345" s="8" t="s">
        <v>15</v>
      </c>
      <c r="L345" t="str">
        <f>IF(Table1[[#This Row],[Age]]&lt;25,"Under 25",IF(Table1[[#This Row],[Age]]&lt;35,"25-34",IF(Table1[[#This Row],[Age]]&lt;45,"35-44",IF(Table1[[#This Row],[Age]]&lt;55,"45-54","55+"))))</f>
        <v>35-44</v>
      </c>
    </row>
    <row r="346" spans="1:12" x14ac:dyDescent="0.3">
      <c r="A346" s="8" t="s">
        <v>369</v>
      </c>
      <c r="B346" s="6">
        <v>19</v>
      </c>
      <c r="C346" s="8" t="s">
        <v>17</v>
      </c>
      <c r="D346" s="6">
        <v>39</v>
      </c>
      <c r="E346" s="2">
        <v>1485.59</v>
      </c>
      <c r="F346" s="2">
        <v>59929.03</v>
      </c>
      <c r="G346" s="8" t="s">
        <v>35</v>
      </c>
      <c r="H346" t="s">
        <v>14</v>
      </c>
      <c r="I346">
        <v>7</v>
      </c>
      <c r="J346" t="s">
        <v>15</v>
      </c>
      <c r="K346" s="8" t="s">
        <v>15</v>
      </c>
      <c r="L346" t="str">
        <f>IF(Table1[[#This Row],[Age]]&lt;25,"Under 25",IF(Table1[[#This Row],[Age]]&lt;35,"25-34",IF(Table1[[#This Row],[Age]]&lt;45,"35-44",IF(Table1[[#This Row],[Age]]&lt;55,"45-54","55+"))))</f>
        <v>Under 25</v>
      </c>
    </row>
    <row r="347" spans="1:12" x14ac:dyDescent="0.3">
      <c r="A347" s="8" t="s">
        <v>370</v>
      </c>
      <c r="B347" s="6">
        <v>55</v>
      </c>
      <c r="C347" s="8" t="s">
        <v>12</v>
      </c>
      <c r="D347" s="6">
        <v>11</v>
      </c>
      <c r="E347" s="2">
        <v>950.6</v>
      </c>
      <c r="F347" s="2">
        <v>10441.23</v>
      </c>
      <c r="G347" s="8" t="s">
        <v>13</v>
      </c>
      <c r="H347" t="s">
        <v>14</v>
      </c>
      <c r="I347">
        <v>3</v>
      </c>
      <c r="J347" t="s">
        <v>15</v>
      </c>
      <c r="K347" s="8" t="s">
        <v>15</v>
      </c>
      <c r="L347" t="str">
        <f>IF(Table1[[#This Row],[Age]]&lt;25,"Under 25",IF(Table1[[#This Row],[Age]]&lt;35,"25-34",IF(Table1[[#This Row],[Age]]&lt;45,"35-44",IF(Table1[[#This Row],[Age]]&lt;55,"45-54","55+"))))</f>
        <v>55+</v>
      </c>
    </row>
    <row r="348" spans="1:12" x14ac:dyDescent="0.3">
      <c r="A348" s="8" t="s">
        <v>371</v>
      </c>
      <c r="B348" s="6">
        <v>42</v>
      </c>
      <c r="C348" s="8" t="s">
        <v>17</v>
      </c>
      <c r="D348" s="6">
        <v>60</v>
      </c>
      <c r="E348" s="2">
        <v>4276.5</v>
      </c>
      <c r="F348" s="2">
        <v>263462.28000000003</v>
      </c>
      <c r="G348" s="8" t="s">
        <v>13</v>
      </c>
      <c r="H348" t="s">
        <v>25</v>
      </c>
      <c r="I348">
        <v>5</v>
      </c>
      <c r="J348" t="s">
        <v>15</v>
      </c>
      <c r="K348" s="8" t="s">
        <v>15</v>
      </c>
      <c r="L348" t="str">
        <f>IF(Table1[[#This Row],[Age]]&lt;25,"Under 25",IF(Table1[[#This Row],[Age]]&lt;35,"25-34",IF(Table1[[#This Row],[Age]]&lt;45,"35-44",IF(Table1[[#This Row],[Age]]&lt;55,"45-54","55+"))))</f>
        <v>35-44</v>
      </c>
    </row>
    <row r="349" spans="1:12" x14ac:dyDescent="0.3">
      <c r="A349" s="8" t="s">
        <v>372</v>
      </c>
      <c r="B349" s="6">
        <v>55</v>
      </c>
      <c r="C349" s="8" t="s">
        <v>12</v>
      </c>
      <c r="D349" s="6">
        <v>46</v>
      </c>
      <c r="E349" s="2">
        <v>3652.52</v>
      </c>
      <c r="F349" s="2">
        <v>175095.07</v>
      </c>
      <c r="G349" s="8" t="s">
        <v>35</v>
      </c>
      <c r="H349" t="s">
        <v>25</v>
      </c>
      <c r="I349">
        <v>3</v>
      </c>
      <c r="J349" t="s">
        <v>22</v>
      </c>
      <c r="K349" s="8" t="s">
        <v>15</v>
      </c>
      <c r="L349" t="str">
        <f>IF(Table1[[#This Row],[Age]]&lt;25,"Under 25",IF(Table1[[#This Row],[Age]]&lt;35,"25-34",IF(Table1[[#This Row],[Age]]&lt;45,"35-44",IF(Table1[[#This Row],[Age]]&lt;55,"45-54","55+"))))</f>
        <v>55+</v>
      </c>
    </row>
    <row r="350" spans="1:12" x14ac:dyDescent="0.3">
      <c r="A350" s="8" t="s">
        <v>373</v>
      </c>
      <c r="B350" s="6">
        <v>29</v>
      </c>
      <c r="C350" s="8" t="s">
        <v>17</v>
      </c>
      <c r="D350" s="6">
        <v>3</v>
      </c>
      <c r="E350" s="2">
        <v>906.16</v>
      </c>
      <c r="F350" s="2">
        <v>2541.4899999999998</v>
      </c>
      <c r="G350" s="8" t="s">
        <v>13</v>
      </c>
      <c r="H350" t="s">
        <v>25</v>
      </c>
      <c r="I350">
        <v>7</v>
      </c>
      <c r="J350" t="s">
        <v>18</v>
      </c>
      <c r="K350" s="8" t="s">
        <v>23</v>
      </c>
      <c r="L350" t="str">
        <f>IF(Table1[[#This Row],[Age]]&lt;25,"Under 25",IF(Table1[[#This Row],[Age]]&lt;35,"25-34",IF(Table1[[#This Row],[Age]]&lt;45,"35-44",IF(Table1[[#This Row],[Age]]&lt;55,"45-54","55+"))))</f>
        <v>25-34</v>
      </c>
    </row>
    <row r="351" spans="1:12" x14ac:dyDescent="0.3">
      <c r="A351" s="8" t="s">
        <v>374</v>
      </c>
      <c r="B351" s="6">
        <v>57</v>
      </c>
      <c r="C351" s="8" t="s">
        <v>12</v>
      </c>
      <c r="D351" s="6">
        <v>52</v>
      </c>
      <c r="E351" s="2">
        <v>1087.2</v>
      </c>
      <c r="F351" s="2">
        <v>56960.71</v>
      </c>
      <c r="G351" s="8" t="s">
        <v>20</v>
      </c>
      <c r="H351" t="s">
        <v>37</v>
      </c>
      <c r="I351">
        <v>0</v>
      </c>
      <c r="J351" t="s">
        <v>18</v>
      </c>
      <c r="K351" s="8" t="s">
        <v>23</v>
      </c>
      <c r="L351" t="str">
        <f>IF(Table1[[#This Row],[Age]]&lt;25,"Under 25",IF(Table1[[#This Row],[Age]]&lt;35,"25-34",IF(Table1[[#This Row],[Age]]&lt;45,"35-44",IF(Table1[[#This Row],[Age]]&lt;55,"45-54","55+"))))</f>
        <v>55+</v>
      </c>
    </row>
    <row r="352" spans="1:12" x14ac:dyDescent="0.3">
      <c r="A352" s="8" t="s">
        <v>375</v>
      </c>
      <c r="B352" s="6">
        <v>63</v>
      </c>
      <c r="C352" s="8" t="s">
        <v>12</v>
      </c>
      <c r="D352" s="6">
        <v>50</v>
      </c>
      <c r="E352" s="2">
        <v>999.14</v>
      </c>
      <c r="F352" s="2">
        <v>48905.120000000003</v>
      </c>
      <c r="G352" s="8" t="s">
        <v>13</v>
      </c>
      <c r="H352" t="s">
        <v>14</v>
      </c>
      <c r="I352">
        <v>5</v>
      </c>
      <c r="J352" t="s">
        <v>15</v>
      </c>
      <c r="K352" s="8" t="s">
        <v>15</v>
      </c>
      <c r="L352" t="str">
        <f>IF(Table1[[#This Row],[Age]]&lt;25,"Under 25",IF(Table1[[#This Row],[Age]]&lt;35,"25-34",IF(Table1[[#This Row],[Age]]&lt;45,"35-44",IF(Table1[[#This Row],[Age]]&lt;55,"45-54","55+"))))</f>
        <v>55+</v>
      </c>
    </row>
    <row r="353" spans="1:12" x14ac:dyDescent="0.3">
      <c r="A353" s="8" t="s">
        <v>376</v>
      </c>
      <c r="B353" s="6">
        <v>43</v>
      </c>
      <c r="C353" s="8" t="s">
        <v>12</v>
      </c>
      <c r="D353" s="6">
        <v>22</v>
      </c>
      <c r="E353" s="2">
        <v>1857.94</v>
      </c>
      <c r="F353" s="2">
        <v>37623.82</v>
      </c>
      <c r="G353" s="8" t="s">
        <v>13</v>
      </c>
      <c r="H353" t="s">
        <v>46</v>
      </c>
      <c r="I353">
        <v>10</v>
      </c>
      <c r="J353" t="s">
        <v>22</v>
      </c>
      <c r="K353" s="8" t="s">
        <v>15</v>
      </c>
      <c r="L353" t="str">
        <f>IF(Table1[[#This Row],[Age]]&lt;25,"Under 25",IF(Table1[[#This Row],[Age]]&lt;35,"25-34",IF(Table1[[#This Row],[Age]]&lt;45,"35-44",IF(Table1[[#This Row],[Age]]&lt;55,"45-54","55+"))))</f>
        <v>35-44</v>
      </c>
    </row>
    <row r="354" spans="1:12" x14ac:dyDescent="0.3">
      <c r="A354" s="8" t="s">
        <v>377</v>
      </c>
      <c r="B354" s="6">
        <v>29</v>
      </c>
      <c r="C354" s="8" t="s">
        <v>17</v>
      </c>
      <c r="D354" s="6">
        <v>15</v>
      </c>
      <c r="E354" s="2">
        <v>3494.89</v>
      </c>
      <c r="F354" s="2">
        <v>53585.48</v>
      </c>
      <c r="G354" s="8" t="s">
        <v>13</v>
      </c>
      <c r="H354" t="s">
        <v>37</v>
      </c>
      <c r="I354">
        <v>2</v>
      </c>
      <c r="J354" t="s">
        <v>18</v>
      </c>
      <c r="K354" s="8" t="s">
        <v>15</v>
      </c>
      <c r="L354" t="str">
        <f>IF(Table1[[#This Row],[Age]]&lt;25,"Under 25",IF(Table1[[#This Row],[Age]]&lt;35,"25-34",IF(Table1[[#This Row],[Age]]&lt;45,"35-44",IF(Table1[[#This Row],[Age]]&lt;55,"45-54","55+"))))</f>
        <v>25-34</v>
      </c>
    </row>
    <row r="355" spans="1:12" x14ac:dyDescent="0.3">
      <c r="A355" s="8" t="s">
        <v>378</v>
      </c>
      <c r="B355" s="6">
        <v>62</v>
      </c>
      <c r="C355" s="8" t="s">
        <v>17</v>
      </c>
      <c r="D355" s="6">
        <v>55</v>
      </c>
      <c r="E355" s="2">
        <v>4974.2700000000004</v>
      </c>
      <c r="F355" s="2">
        <v>285835.32</v>
      </c>
      <c r="G355" s="8" t="s">
        <v>13</v>
      </c>
      <c r="H355" t="s">
        <v>25</v>
      </c>
      <c r="I355">
        <v>5</v>
      </c>
      <c r="J355" t="s">
        <v>15</v>
      </c>
      <c r="K355" s="8" t="s">
        <v>23</v>
      </c>
      <c r="L355" t="str">
        <f>IF(Table1[[#This Row],[Age]]&lt;25,"Under 25",IF(Table1[[#This Row],[Age]]&lt;35,"25-34",IF(Table1[[#This Row],[Age]]&lt;45,"35-44",IF(Table1[[#This Row],[Age]]&lt;55,"45-54","55+"))))</f>
        <v>55+</v>
      </c>
    </row>
    <row r="356" spans="1:12" x14ac:dyDescent="0.3">
      <c r="A356" s="8" t="s">
        <v>379</v>
      </c>
      <c r="B356" s="6">
        <v>54</v>
      </c>
      <c r="C356" s="8" t="s">
        <v>12</v>
      </c>
      <c r="D356" s="6">
        <v>60</v>
      </c>
      <c r="E356" s="2">
        <v>2732.83</v>
      </c>
      <c r="F356" s="2">
        <v>155718.06</v>
      </c>
      <c r="G356" s="8" t="s">
        <v>13</v>
      </c>
      <c r="H356" t="s">
        <v>37</v>
      </c>
      <c r="I356">
        <v>5</v>
      </c>
      <c r="J356" t="s">
        <v>18</v>
      </c>
      <c r="K356" s="8" t="s">
        <v>15</v>
      </c>
      <c r="L356" t="str">
        <f>IF(Table1[[#This Row],[Age]]&lt;25,"Under 25",IF(Table1[[#This Row],[Age]]&lt;35,"25-34",IF(Table1[[#This Row],[Age]]&lt;45,"35-44",IF(Table1[[#This Row],[Age]]&lt;55,"45-54","55+"))))</f>
        <v>45-54</v>
      </c>
    </row>
    <row r="357" spans="1:12" x14ac:dyDescent="0.3">
      <c r="A357" s="8" t="s">
        <v>380</v>
      </c>
      <c r="B357" s="6">
        <v>23</v>
      </c>
      <c r="C357" s="8" t="s">
        <v>17</v>
      </c>
      <c r="D357" s="6">
        <v>29</v>
      </c>
      <c r="E357" s="2">
        <v>551.28</v>
      </c>
      <c r="F357" s="2">
        <v>14891.25</v>
      </c>
      <c r="G357" s="8" t="s">
        <v>35</v>
      </c>
      <c r="H357" t="s">
        <v>37</v>
      </c>
      <c r="I357">
        <v>4</v>
      </c>
      <c r="J357" t="s">
        <v>18</v>
      </c>
      <c r="K357" s="8" t="s">
        <v>15</v>
      </c>
      <c r="L357" t="str">
        <f>IF(Table1[[#This Row],[Age]]&lt;25,"Under 25",IF(Table1[[#This Row],[Age]]&lt;35,"25-34",IF(Table1[[#This Row],[Age]]&lt;45,"35-44",IF(Table1[[#This Row],[Age]]&lt;55,"45-54","55+"))))</f>
        <v>Under 25</v>
      </c>
    </row>
    <row r="358" spans="1:12" x14ac:dyDescent="0.3">
      <c r="A358" s="8" t="s">
        <v>381</v>
      </c>
      <c r="B358" s="6">
        <v>21</v>
      </c>
      <c r="C358" s="8" t="s">
        <v>17</v>
      </c>
      <c r="D358" s="6">
        <v>29</v>
      </c>
      <c r="E358" s="2">
        <v>3796.63</v>
      </c>
      <c r="F358" s="2">
        <v>115097.09</v>
      </c>
      <c r="G358" s="8" t="s">
        <v>20</v>
      </c>
      <c r="H358" t="s">
        <v>46</v>
      </c>
      <c r="I358">
        <v>6</v>
      </c>
      <c r="J358" t="s">
        <v>22</v>
      </c>
      <c r="K358" s="8" t="s">
        <v>15</v>
      </c>
      <c r="L358" t="str">
        <f>IF(Table1[[#This Row],[Age]]&lt;25,"Under 25",IF(Table1[[#This Row],[Age]]&lt;35,"25-34",IF(Table1[[#This Row],[Age]]&lt;45,"35-44",IF(Table1[[#This Row],[Age]]&lt;55,"45-54","55+"))))</f>
        <v>Under 25</v>
      </c>
    </row>
    <row r="359" spans="1:12" x14ac:dyDescent="0.3">
      <c r="A359" s="8" t="s">
        <v>382</v>
      </c>
      <c r="B359" s="6">
        <v>24</v>
      </c>
      <c r="C359" s="8" t="s">
        <v>17</v>
      </c>
      <c r="D359" s="6">
        <v>51</v>
      </c>
      <c r="E359" s="2">
        <v>4388.2299999999996</v>
      </c>
      <c r="F359" s="2">
        <v>223272.78</v>
      </c>
      <c r="G359" s="8" t="s">
        <v>35</v>
      </c>
      <c r="H359" t="s">
        <v>21</v>
      </c>
      <c r="I359">
        <v>7</v>
      </c>
      <c r="J359" t="s">
        <v>18</v>
      </c>
      <c r="K359" s="8" t="s">
        <v>15</v>
      </c>
      <c r="L359" t="str">
        <f>IF(Table1[[#This Row],[Age]]&lt;25,"Under 25",IF(Table1[[#This Row],[Age]]&lt;35,"25-34",IF(Table1[[#This Row],[Age]]&lt;45,"35-44",IF(Table1[[#This Row],[Age]]&lt;55,"45-54","55+"))))</f>
        <v>Under 25</v>
      </c>
    </row>
    <row r="360" spans="1:12" x14ac:dyDescent="0.3">
      <c r="A360" s="8" t="s">
        <v>383</v>
      </c>
      <c r="B360" s="6">
        <v>20</v>
      </c>
      <c r="C360" s="8" t="s">
        <v>17</v>
      </c>
      <c r="D360" s="6">
        <v>2</v>
      </c>
      <c r="E360" s="2">
        <v>1934.23</v>
      </c>
      <c r="F360" s="2">
        <v>4033.83</v>
      </c>
      <c r="G360" s="8" t="s">
        <v>13</v>
      </c>
      <c r="H360" t="s">
        <v>21</v>
      </c>
      <c r="I360">
        <v>6</v>
      </c>
      <c r="J360" t="s">
        <v>18</v>
      </c>
      <c r="K360" s="8" t="s">
        <v>15</v>
      </c>
      <c r="L360" t="str">
        <f>IF(Table1[[#This Row],[Age]]&lt;25,"Under 25",IF(Table1[[#This Row],[Age]]&lt;35,"25-34",IF(Table1[[#This Row],[Age]]&lt;45,"35-44",IF(Table1[[#This Row],[Age]]&lt;55,"45-54","55+"))))</f>
        <v>Under 25</v>
      </c>
    </row>
    <row r="361" spans="1:12" x14ac:dyDescent="0.3">
      <c r="A361" s="8" t="s">
        <v>384</v>
      </c>
      <c r="B361" s="6">
        <v>53</v>
      </c>
      <c r="C361" s="8" t="s">
        <v>12</v>
      </c>
      <c r="D361" s="6">
        <v>22</v>
      </c>
      <c r="E361" s="2">
        <v>3173.14</v>
      </c>
      <c r="F361" s="2">
        <v>69253.87</v>
      </c>
      <c r="G361" s="8" t="s">
        <v>13</v>
      </c>
      <c r="H361" t="s">
        <v>14</v>
      </c>
      <c r="I361">
        <v>6</v>
      </c>
      <c r="J361" t="s">
        <v>15</v>
      </c>
      <c r="K361" s="8" t="s">
        <v>23</v>
      </c>
      <c r="L361" t="str">
        <f>IF(Table1[[#This Row],[Age]]&lt;25,"Under 25",IF(Table1[[#This Row],[Age]]&lt;35,"25-34",IF(Table1[[#This Row],[Age]]&lt;45,"35-44",IF(Table1[[#This Row],[Age]]&lt;55,"45-54","55+"))))</f>
        <v>45-54</v>
      </c>
    </row>
    <row r="362" spans="1:12" x14ac:dyDescent="0.3">
      <c r="A362" s="8" t="s">
        <v>385</v>
      </c>
      <c r="B362" s="6">
        <v>45</v>
      </c>
      <c r="C362" s="8" t="s">
        <v>12</v>
      </c>
      <c r="D362" s="6">
        <v>4</v>
      </c>
      <c r="E362" s="2">
        <v>955.66</v>
      </c>
      <c r="F362" s="2">
        <v>3558.24</v>
      </c>
      <c r="G362" s="8" t="s">
        <v>13</v>
      </c>
      <c r="H362" t="s">
        <v>25</v>
      </c>
      <c r="I362">
        <v>8</v>
      </c>
      <c r="J362" t="s">
        <v>22</v>
      </c>
      <c r="K362" s="8" t="s">
        <v>15</v>
      </c>
      <c r="L362" t="str">
        <f>IF(Table1[[#This Row],[Age]]&lt;25,"Under 25",IF(Table1[[#This Row],[Age]]&lt;35,"25-34",IF(Table1[[#This Row],[Age]]&lt;45,"35-44",IF(Table1[[#This Row],[Age]]&lt;55,"45-54","55+"))))</f>
        <v>45-54</v>
      </c>
    </row>
    <row r="363" spans="1:12" x14ac:dyDescent="0.3">
      <c r="A363" s="8" t="s">
        <v>386</v>
      </c>
      <c r="B363" s="6">
        <v>37</v>
      </c>
      <c r="C363" s="8" t="s">
        <v>12</v>
      </c>
      <c r="D363" s="6">
        <v>7</v>
      </c>
      <c r="E363" s="2">
        <v>723.36</v>
      </c>
      <c r="F363" s="2">
        <v>4991.4399999999996</v>
      </c>
      <c r="G363" s="8" t="s">
        <v>20</v>
      </c>
      <c r="H363" t="s">
        <v>21</v>
      </c>
      <c r="I363">
        <v>0</v>
      </c>
      <c r="J363" t="s">
        <v>22</v>
      </c>
      <c r="K363" s="8" t="s">
        <v>23</v>
      </c>
      <c r="L363" t="str">
        <f>IF(Table1[[#This Row],[Age]]&lt;25,"Under 25",IF(Table1[[#This Row],[Age]]&lt;35,"25-34",IF(Table1[[#This Row],[Age]]&lt;45,"35-44",IF(Table1[[#This Row],[Age]]&lt;55,"45-54","55+"))))</f>
        <v>35-44</v>
      </c>
    </row>
    <row r="364" spans="1:12" x14ac:dyDescent="0.3">
      <c r="A364" s="8" t="s">
        <v>387</v>
      </c>
      <c r="B364" s="6">
        <v>23</v>
      </c>
      <c r="C364" s="8" t="s">
        <v>17</v>
      </c>
      <c r="D364" s="6">
        <v>53</v>
      </c>
      <c r="E364" s="2">
        <v>3479.09</v>
      </c>
      <c r="F364" s="2">
        <v>182553.81</v>
      </c>
      <c r="G364" s="8" t="s">
        <v>13</v>
      </c>
      <c r="H364" t="s">
        <v>14</v>
      </c>
      <c r="I364">
        <v>3</v>
      </c>
      <c r="J364" t="s">
        <v>18</v>
      </c>
      <c r="K364" s="8" t="s">
        <v>15</v>
      </c>
      <c r="L364" t="str">
        <f>IF(Table1[[#This Row],[Age]]&lt;25,"Under 25",IF(Table1[[#This Row],[Age]]&lt;35,"25-34",IF(Table1[[#This Row],[Age]]&lt;45,"35-44",IF(Table1[[#This Row],[Age]]&lt;55,"45-54","55+"))))</f>
        <v>Under 25</v>
      </c>
    </row>
    <row r="365" spans="1:12" x14ac:dyDescent="0.3">
      <c r="A365" s="8" t="s">
        <v>388</v>
      </c>
      <c r="B365" s="6">
        <v>23</v>
      </c>
      <c r="C365" s="8" t="s">
        <v>17</v>
      </c>
      <c r="D365" s="6">
        <v>55</v>
      </c>
      <c r="E365" s="2">
        <v>1019.79</v>
      </c>
      <c r="F365" s="2">
        <v>57082.98</v>
      </c>
      <c r="G365" s="8" t="s">
        <v>13</v>
      </c>
      <c r="H365" t="s">
        <v>37</v>
      </c>
      <c r="I365">
        <v>1</v>
      </c>
      <c r="J365" t="s">
        <v>15</v>
      </c>
      <c r="K365" s="8" t="s">
        <v>15</v>
      </c>
      <c r="L365" t="str">
        <f>IF(Table1[[#This Row],[Age]]&lt;25,"Under 25",IF(Table1[[#This Row],[Age]]&lt;35,"25-34",IF(Table1[[#This Row],[Age]]&lt;45,"35-44",IF(Table1[[#This Row],[Age]]&lt;55,"45-54","55+"))))</f>
        <v>Under 25</v>
      </c>
    </row>
    <row r="366" spans="1:12" x14ac:dyDescent="0.3">
      <c r="A366" s="8" t="s">
        <v>389</v>
      </c>
      <c r="B366" s="6">
        <v>29</v>
      </c>
      <c r="C366" s="8" t="s">
        <v>17</v>
      </c>
      <c r="D366" s="6">
        <v>57</v>
      </c>
      <c r="E366" s="2">
        <v>2216.5</v>
      </c>
      <c r="F366" s="2">
        <v>117242.4</v>
      </c>
      <c r="G366" s="8" t="s">
        <v>13</v>
      </c>
      <c r="H366" t="s">
        <v>46</v>
      </c>
      <c r="I366">
        <v>7</v>
      </c>
      <c r="J366" t="s">
        <v>22</v>
      </c>
      <c r="K366" s="8" t="s">
        <v>23</v>
      </c>
      <c r="L366" t="str">
        <f>IF(Table1[[#This Row],[Age]]&lt;25,"Under 25",IF(Table1[[#This Row],[Age]]&lt;35,"25-34",IF(Table1[[#This Row],[Age]]&lt;45,"35-44",IF(Table1[[#This Row],[Age]]&lt;55,"45-54","55+"))))</f>
        <v>25-34</v>
      </c>
    </row>
    <row r="367" spans="1:12" x14ac:dyDescent="0.3">
      <c r="A367" s="8" t="s">
        <v>390</v>
      </c>
      <c r="B367" s="6">
        <v>35</v>
      </c>
      <c r="C367" s="8" t="s">
        <v>12</v>
      </c>
      <c r="D367" s="6">
        <v>10</v>
      </c>
      <c r="E367" s="2">
        <v>3885.06</v>
      </c>
      <c r="F367" s="2">
        <v>38855.269999999997</v>
      </c>
      <c r="G367" s="8" t="s">
        <v>13</v>
      </c>
      <c r="H367" t="s">
        <v>37</v>
      </c>
      <c r="I367">
        <v>8</v>
      </c>
      <c r="J367" t="s">
        <v>22</v>
      </c>
      <c r="K367" s="8" t="s">
        <v>15</v>
      </c>
      <c r="L367" t="str">
        <f>IF(Table1[[#This Row],[Age]]&lt;25,"Under 25",IF(Table1[[#This Row],[Age]]&lt;35,"25-34",IF(Table1[[#This Row],[Age]]&lt;45,"35-44",IF(Table1[[#This Row],[Age]]&lt;55,"45-54","55+"))))</f>
        <v>35-44</v>
      </c>
    </row>
    <row r="368" spans="1:12" x14ac:dyDescent="0.3">
      <c r="A368" s="8" t="s">
        <v>391</v>
      </c>
      <c r="B368" s="6">
        <v>55</v>
      </c>
      <c r="C368" s="8" t="s">
        <v>12</v>
      </c>
      <c r="D368" s="6">
        <v>36</v>
      </c>
      <c r="E368" s="2">
        <v>774.43</v>
      </c>
      <c r="F368" s="2">
        <v>26710.38</v>
      </c>
      <c r="G368" s="8" t="s">
        <v>13</v>
      </c>
      <c r="H368" t="s">
        <v>25</v>
      </c>
      <c r="I368">
        <v>10</v>
      </c>
      <c r="J368" t="s">
        <v>22</v>
      </c>
      <c r="K368" s="8" t="s">
        <v>15</v>
      </c>
      <c r="L368" t="str">
        <f>IF(Table1[[#This Row],[Age]]&lt;25,"Under 25",IF(Table1[[#This Row],[Age]]&lt;35,"25-34",IF(Table1[[#This Row],[Age]]&lt;45,"35-44",IF(Table1[[#This Row],[Age]]&lt;55,"45-54","55+"))))</f>
        <v>55+</v>
      </c>
    </row>
    <row r="369" spans="1:12" x14ac:dyDescent="0.3">
      <c r="A369" s="8" t="s">
        <v>392</v>
      </c>
      <c r="B369" s="6">
        <v>33</v>
      </c>
      <c r="C369" s="8" t="s">
        <v>17</v>
      </c>
      <c r="D369" s="6">
        <v>20</v>
      </c>
      <c r="E369" s="2">
        <v>855.3</v>
      </c>
      <c r="F369" s="2">
        <v>17711.84</v>
      </c>
      <c r="G369" s="8" t="s">
        <v>35</v>
      </c>
      <c r="H369" t="s">
        <v>25</v>
      </c>
      <c r="I369">
        <v>9</v>
      </c>
      <c r="J369" t="s">
        <v>15</v>
      </c>
      <c r="K369" s="8" t="s">
        <v>15</v>
      </c>
      <c r="L369" t="str">
        <f>IF(Table1[[#This Row],[Age]]&lt;25,"Under 25",IF(Table1[[#This Row],[Age]]&lt;35,"25-34",IF(Table1[[#This Row],[Age]]&lt;45,"35-44",IF(Table1[[#This Row],[Age]]&lt;55,"45-54","55+"))))</f>
        <v>25-34</v>
      </c>
    </row>
    <row r="370" spans="1:12" x14ac:dyDescent="0.3">
      <c r="A370" s="8" t="s">
        <v>393</v>
      </c>
      <c r="B370" s="6">
        <v>61</v>
      </c>
      <c r="C370" s="8" t="s">
        <v>12</v>
      </c>
      <c r="D370" s="6">
        <v>8</v>
      </c>
      <c r="E370" s="2">
        <v>4771.6499999999996</v>
      </c>
      <c r="F370" s="2">
        <v>36927.07</v>
      </c>
      <c r="G370" s="8" t="s">
        <v>20</v>
      </c>
      <c r="H370" t="s">
        <v>21</v>
      </c>
      <c r="I370">
        <v>3</v>
      </c>
      <c r="J370" t="s">
        <v>18</v>
      </c>
      <c r="K370" s="8" t="s">
        <v>23</v>
      </c>
      <c r="L370" t="str">
        <f>IF(Table1[[#This Row],[Age]]&lt;25,"Under 25",IF(Table1[[#This Row],[Age]]&lt;35,"25-34",IF(Table1[[#This Row],[Age]]&lt;45,"35-44",IF(Table1[[#This Row],[Age]]&lt;55,"45-54","55+"))))</f>
        <v>55+</v>
      </c>
    </row>
    <row r="371" spans="1:12" x14ac:dyDescent="0.3">
      <c r="A371" s="8" t="s">
        <v>394</v>
      </c>
      <c r="B371" s="6">
        <v>45</v>
      </c>
      <c r="C371" s="8" t="s">
        <v>12</v>
      </c>
      <c r="D371" s="6">
        <v>44</v>
      </c>
      <c r="E371" s="2">
        <v>2459.27</v>
      </c>
      <c r="F371" s="2">
        <v>113573.95</v>
      </c>
      <c r="G371" s="8" t="s">
        <v>35</v>
      </c>
      <c r="H371" t="s">
        <v>25</v>
      </c>
      <c r="I371">
        <v>4</v>
      </c>
      <c r="J371" t="s">
        <v>22</v>
      </c>
      <c r="K371" s="8" t="s">
        <v>15</v>
      </c>
      <c r="L371" t="str">
        <f>IF(Table1[[#This Row],[Age]]&lt;25,"Under 25",IF(Table1[[#This Row],[Age]]&lt;35,"25-34",IF(Table1[[#This Row],[Age]]&lt;45,"35-44",IF(Table1[[#This Row],[Age]]&lt;55,"45-54","55+"))))</f>
        <v>45-54</v>
      </c>
    </row>
    <row r="372" spans="1:12" x14ac:dyDescent="0.3">
      <c r="A372" s="8" t="s">
        <v>395</v>
      </c>
      <c r="B372" s="6">
        <v>22</v>
      </c>
      <c r="C372" s="8" t="s">
        <v>12</v>
      </c>
      <c r="D372" s="6">
        <v>25</v>
      </c>
      <c r="E372" s="2">
        <v>3003.64</v>
      </c>
      <c r="F372" s="2">
        <v>73800.05</v>
      </c>
      <c r="G372" s="8" t="s">
        <v>20</v>
      </c>
      <c r="H372" t="s">
        <v>25</v>
      </c>
      <c r="I372">
        <v>7</v>
      </c>
      <c r="J372" t="s">
        <v>18</v>
      </c>
      <c r="K372" s="8" t="s">
        <v>15</v>
      </c>
      <c r="L372" t="str">
        <f>IF(Table1[[#This Row],[Age]]&lt;25,"Under 25",IF(Table1[[#This Row],[Age]]&lt;35,"25-34",IF(Table1[[#This Row],[Age]]&lt;45,"35-44",IF(Table1[[#This Row],[Age]]&lt;55,"45-54","55+"))))</f>
        <v>Under 25</v>
      </c>
    </row>
    <row r="373" spans="1:12" x14ac:dyDescent="0.3">
      <c r="A373" s="8" t="s">
        <v>396</v>
      </c>
      <c r="B373" s="6">
        <v>57</v>
      </c>
      <c r="C373" s="8" t="s">
        <v>17</v>
      </c>
      <c r="D373" s="6">
        <v>8</v>
      </c>
      <c r="E373" s="2">
        <v>2364.9899999999998</v>
      </c>
      <c r="F373" s="2">
        <v>17448.52</v>
      </c>
      <c r="G373" s="8" t="s">
        <v>35</v>
      </c>
      <c r="H373" t="s">
        <v>14</v>
      </c>
      <c r="I373">
        <v>1</v>
      </c>
      <c r="J373" t="s">
        <v>15</v>
      </c>
      <c r="K373" s="8" t="s">
        <v>15</v>
      </c>
      <c r="L373" t="str">
        <f>IF(Table1[[#This Row],[Age]]&lt;25,"Under 25",IF(Table1[[#This Row],[Age]]&lt;35,"25-34",IF(Table1[[#This Row],[Age]]&lt;45,"35-44",IF(Table1[[#This Row],[Age]]&lt;55,"45-54","55+"))))</f>
        <v>55+</v>
      </c>
    </row>
    <row r="374" spans="1:12" x14ac:dyDescent="0.3">
      <c r="A374" s="8" t="s">
        <v>397</v>
      </c>
      <c r="B374" s="6">
        <v>36</v>
      </c>
      <c r="C374" s="8" t="s">
        <v>17</v>
      </c>
      <c r="D374" s="6">
        <v>57</v>
      </c>
      <c r="E374" s="2">
        <v>2349.0100000000002</v>
      </c>
      <c r="F374" s="2">
        <v>128197.27</v>
      </c>
      <c r="G374" s="8" t="s">
        <v>13</v>
      </c>
      <c r="H374" t="s">
        <v>25</v>
      </c>
      <c r="I374">
        <v>7</v>
      </c>
      <c r="J374" t="s">
        <v>18</v>
      </c>
      <c r="K374" s="8" t="s">
        <v>23</v>
      </c>
      <c r="L374" t="str">
        <f>IF(Table1[[#This Row],[Age]]&lt;25,"Under 25",IF(Table1[[#This Row],[Age]]&lt;35,"25-34",IF(Table1[[#This Row],[Age]]&lt;45,"35-44",IF(Table1[[#This Row],[Age]]&lt;55,"45-54","55+"))))</f>
        <v>35-44</v>
      </c>
    </row>
    <row r="375" spans="1:12" x14ac:dyDescent="0.3">
      <c r="A375" s="8" t="s">
        <v>398</v>
      </c>
      <c r="B375" s="6">
        <v>43</v>
      </c>
      <c r="C375" s="8" t="s">
        <v>12</v>
      </c>
      <c r="D375" s="6">
        <v>40</v>
      </c>
      <c r="E375" s="2">
        <v>3238.95</v>
      </c>
      <c r="F375" s="2">
        <v>130082.6</v>
      </c>
      <c r="G375" s="8" t="s">
        <v>13</v>
      </c>
      <c r="H375" t="s">
        <v>37</v>
      </c>
      <c r="I375">
        <v>3</v>
      </c>
      <c r="J375" t="s">
        <v>18</v>
      </c>
      <c r="K375" s="8" t="s">
        <v>15</v>
      </c>
      <c r="L375" t="str">
        <f>IF(Table1[[#This Row],[Age]]&lt;25,"Under 25",IF(Table1[[#This Row],[Age]]&lt;35,"25-34",IF(Table1[[#This Row],[Age]]&lt;45,"35-44",IF(Table1[[#This Row],[Age]]&lt;55,"45-54","55+"))))</f>
        <v>35-44</v>
      </c>
    </row>
    <row r="376" spans="1:12" x14ac:dyDescent="0.3">
      <c r="A376" s="8" t="s">
        <v>399</v>
      </c>
      <c r="B376" s="6">
        <v>35</v>
      </c>
      <c r="C376" s="8" t="s">
        <v>17</v>
      </c>
      <c r="D376" s="6">
        <v>2</v>
      </c>
      <c r="E376" s="2">
        <v>2020.4</v>
      </c>
      <c r="F376" s="2">
        <v>4117.7700000000004</v>
      </c>
      <c r="G376" s="8" t="s">
        <v>13</v>
      </c>
      <c r="H376" t="s">
        <v>46</v>
      </c>
      <c r="I376">
        <v>10</v>
      </c>
      <c r="J376" t="s">
        <v>18</v>
      </c>
      <c r="K376" s="8" t="s">
        <v>15</v>
      </c>
      <c r="L376" t="str">
        <f>IF(Table1[[#This Row],[Age]]&lt;25,"Under 25",IF(Table1[[#This Row],[Age]]&lt;35,"25-34",IF(Table1[[#This Row],[Age]]&lt;45,"35-44",IF(Table1[[#This Row],[Age]]&lt;55,"45-54","55+"))))</f>
        <v>35-44</v>
      </c>
    </row>
    <row r="377" spans="1:12" x14ac:dyDescent="0.3">
      <c r="A377" s="8" t="s">
        <v>400</v>
      </c>
      <c r="B377" s="6">
        <v>32</v>
      </c>
      <c r="C377" s="8" t="s">
        <v>12</v>
      </c>
      <c r="D377" s="6">
        <v>20</v>
      </c>
      <c r="E377" s="2">
        <v>4883.99</v>
      </c>
      <c r="F377" s="2">
        <v>94404.26</v>
      </c>
      <c r="G377" s="8" t="s">
        <v>20</v>
      </c>
      <c r="H377" t="s">
        <v>37</v>
      </c>
      <c r="I377">
        <v>6</v>
      </c>
      <c r="J377" t="s">
        <v>15</v>
      </c>
      <c r="K377" s="8" t="s">
        <v>15</v>
      </c>
      <c r="L377" t="str">
        <f>IF(Table1[[#This Row],[Age]]&lt;25,"Under 25",IF(Table1[[#This Row],[Age]]&lt;35,"25-34",IF(Table1[[#This Row],[Age]]&lt;45,"35-44",IF(Table1[[#This Row],[Age]]&lt;55,"45-54","55+"))))</f>
        <v>25-34</v>
      </c>
    </row>
    <row r="378" spans="1:12" x14ac:dyDescent="0.3">
      <c r="A378" s="8" t="s">
        <v>401</v>
      </c>
      <c r="B378" s="6">
        <v>30</v>
      </c>
      <c r="C378" s="8" t="s">
        <v>17</v>
      </c>
      <c r="D378" s="6">
        <v>14</v>
      </c>
      <c r="E378" s="2">
        <v>4610.45</v>
      </c>
      <c r="F378" s="2">
        <v>62033.87</v>
      </c>
      <c r="G378" s="8" t="s">
        <v>13</v>
      </c>
      <c r="H378" t="s">
        <v>25</v>
      </c>
      <c r="I378">
        <v>5</v>
      </c>
      <c r="J378" t="s">
        <v>18</v>
      </c>
      <c r="K378" s="8" t="s">
        <v>23</v>
      </c>
      <c r="L378" t="str">
        <f>IF(Table1[[#This Row],[Age]]&lt;25,"Under 25",IF(Table1[[#This Row],[Age]]&lt;35,"25-34",IF(Table1[[#This Row],[Age]]&lt;45,"35-44",IF(Table1[[#This Row],[Age]]&lt;55,"45-54","55+"))))</f>
        <v>25-34</v>
      </c>
    </row>
    <row r="379" spans="1:12" x14ac:dyDescent="0.3">
      <c r="A379" s="8" t="s">
        <v>402</v>
      </c>
      <c r="B379" s="6">
        <v>28</v>
      </c>
      <c r="C379" s="8" t="s">
        <v>12</v>
      </c>
      <c r="D379" s="6">
        <v>20</v>
      </c>
      <c r="E379" s="2">
        <v>3693.06</v>
      </c>
      <c r="F379" s="2">
        <v>70944.259999999995</v>
      </c>
      <c r="G379" s="8" t="s">
        <v>35</v>
      </c>
      <c r="H379" t="s">
        <v>25</v>
      </c>
      <c r="I379">
        <v>9</v>
      </c>
      <c r="J379" t="s">
        <v>18</v>
      </c>
      <c r="K379" s="8" t="s">
        <v>23</v>
      </c>
      <c r="L379" t="str">
        <f>IF(Table1[[#This Row],[Age]]&lt;25,"Under 25",IF(Table1[[#This Row],[Age]]&lt;35,"25-34",IF(Table1[[#This Row],[Age]]&lt;45,"35-44",IF(Table1[[#This Row],[Age]]&lt;55,"45-54","55+"))))</f>
        <v>25-34</v>
      </c>
    </row>
    <row r="380" spans="1:12" x14ac:dyDescent="0.3">
      <c r="A380" s="8" t="s">
        <v>403</v>
      </c>
      <c r="B380" s="6">
        <v>30</v>
      </c>
      <c r="C380" s="8" t="s">
        <v>12</v>
      </c>
      <c r="D380" s="6">
        <v>16</v>
      </c>
      <c r="E380" s="2">
        <v>648.82000000000005</v>
      </c>
      <c r="F380" s="2">
        <v>9421.74</v>
      </c>
      <c r="G380" s="8" t="s">
        <v>13</v>
      </c>
      <c r="H380" t="s">
        <v>21</v>
      </c>
      <c r="I380">
        <v>4</v>
      </c>
      <c r="J380" t="s">
        <v>22</v>
      </c>
      <c r="K380" s="8" t="s">
        <v>15</v>
      </c>
      <c r="L380" t="str">
        <f>IF(Table1[[#This Row],[Age]]&lt;25,"Under 25",IF(Table1[[#This Row],[Age]]&lt;35,"25-34",IF(Table1[[#This Row],[Age]]&lt;45,"35-44",IF(Table1[[#This Row],[Age]]&lt;55,"45-54","55+"))))</f>
        <v>25-34</v>
      </c>
    </row>
    <row r="381" spans="1:12" x14ac:dyDescent="0.3">
      <c r="A381" s="8" t="s">
        <v>404</v>
      </c>
      <c r="B381" s="6">
        <v>50</v>
      </c>
      <c r="C381" s="8" t="s">
        <v>17</v>
      </c>
      <c r="D381" s="6">
        <v>41</v>
      </c>
      <c r="E381" s="2">
        <v>4653.83</v>
      </c>
      <c r="F381" s="2">
        <v>191222.26</v>
      </c>
      <c r="G381" s="8" t="s">
        <v>13</v>
      </c>
      <c r="H381" t="s">
        <v>46</v>
      </c>
      <c r="I381">
        <v>9</v>
      </c>
      <c r="J381" t="s">
        <v>22</v>
      </c>
      <c r="K381" s="8" t="s">
        <v>23</v>
      </c>
      <c r="L381" t="str">
        <f>IF(Table1[[#This Row],[Age]]&lt;25,"Under 25",IF(Table1[[#This Row],[Age]]&lt;35,"25-34",IF(Table1[[#This Row],[Age]]&lt;45,"35-44",IF(Table1[[#This Row],[Age]]&lt;55,"45-54","55+"))))</f>
        <v>45-54</v>
      </c>
    </row>
    <row r="382" spans="1:12" x14ac:dyDescent="0.3">
      <c r="A382" s="8" t="s">
        <v>405</v>
      </c>
      <c r="B382" s="6">
        <v>48</v>
      </c>
      <c r="C382" s="8" t="s">
        <v>17</v>
      </c>
      <c r="D382" s="6">
        <v>23</v>
      </c>
      <c r="E382" s="2">
        <v>1235.81</v>
      </c>
      <c r="F382" s="2">
        <v>29394.97</v>
      </c>
      <c r="G382" s="8" t="s">
        <v>35</v>
      </c>
      <c r="H382" t="s">
        <v>14</v>
      </c>
      <c r="I382">
        <v>4</v>
      </c>
      <c r="J382" t="s">
        <v>18</v>
      </c>
      <c r="K382" s="8" t="s">
        <v>15</v>
      </c>
      <c r="L382" t="str">
        <f>IF(Table1[[#This Row],[Age]]&lt;25,"Under 25",IF(Table1[[#This Row],[Age]]&lt;35,"25-34",IF(Table1[[#This Row],[Age]]&lt;45,"35-44",IF(Table1[[#This Row],[Age]]&lt;55,"45-54","55+"))))</f>
        <v>45-54</v>
      </c>
    </row>
    <row r="383" spans="1:12" x14ac:dyDescent="0.3">
      <c r="A383" s="8" t="s">
        <v>406</v>
      </c>
      <c r="B383" s="6">
        <v>28</v>
      </c>
      <c r="C383" s="8" t="s">
        <v>12</v>
      </c>
      <c r="D383" s="6">
        <v>55</v>
      </c>
      <c r="E383" s="2">
        <v>1496.08</v>
      </c>
      <c r="F383" s="2">
        <v>76834.44</v>
      </c>
      <c r="G383" s="8" t="s">
        <v>13</v>
      </c>
      <c r="H383" t="s">
        <v>46</v>
      </c>
      <c r="I383">
        <v>8</v>
      </c>
      <c r="J383" t="s">
        <v>18</v>
      </c>
      <c r="K383" s="8" t="s">
        <v>15</v>
      </c>
      <c r="L383" t="str">
        <f>IF(Table1[[#This Row],[Age]]&lt;25,"Under 25",IF(Table1[[#This Row],[Age]]&lt;35,"25-34",IF(Table1[[#This Row],[Age]]&lt;45,"35-44",IF(Table1[[#This Row],[Age]]&lt;55,"45-54","55+"))))</f>
        <v>25-34</v>
      </c>
    </row>
    <row r="384" spans="1:12" x14ac:dyDescent="0.3">
      <c r="A384" s="8" t="s">
        <v>407</v>
      </c>
      <c r="B384" s="6">
        <v>61</v>
      </c>
      <c r="C384" s="8" t="s">
        <v>12</v>
      </c>
      <c r="D384" s="6">
        <v>31</v>
      </c>
      <c r="E384" s="2">
        <v>4601.82</v>
      </c>
      <c r="F384" s="2">
        <v>142243.53</v>
      </c>
      <c r="G384" s="8" t="s">
        <v>35</v>
      </c>
      <c r="H384" t="s">
        <v>14</v>
      </c>
      <c r="I384">
        <v>3</v>
      </c>
      <c r="J384" t="s">
        <v>22</v>
      </c>
      <c r="K384" s="8" t="s">
        <v>15</v>
      </c>
      <c r="L384" t="str">
        <f>IF(Table1[[#This Row],[Age]]&lt;25,"Under 25",IF(Table1[[#This Row],[Age]]&lt;35,"25-34",IF(Table1[[#This Row],[Age]]&lt;45,"35-44",IF(Table1[[#This Row],[Age]]&lt;55,"45-54","55+"))))</f>
        <v>55+</v>
      </c>
    </row>
    <row r="385" spans="1:12" x14ac:dyDescent="0.3">
      <c r="A385" s="8" t="s">
        <v>408</v>
      </c>
      <c r="B385" s="6">
        <v>37</v>
      </c>
      <c r="C385" s="8" t="s">
        <v>17</v>
      </c>
      <c r="D385" s="6">
        <v>28</v>
      </c>
      <c r="E385" s="2">
        <v>4529.67</v>
      </c>
      <c r="F385" s="2">
        <v>130348.78</v>
      </c>
      <c r="G385" s="8" t="s">
        <v>13</v>
      </c>
      <c r="H385" t="s">
        <v>21</v>
      </c>
      <c r="I385">
        <v>7</v>
      </c>
      <c r="J385" t="s">
        <v>22</v>
      </c>
      <c r="K385" s="8" t="s">
        <v>15</v>
      </c>
      <c r="L385" t="str">
        <f>IF(Table1[[#This Row],[Age]]&lt;25,"Under 25",IF(Table1[[#This Row],[Age]]&lt;35,"25-34",IF(Table1[[#This Row],[Age]]&lt;45,"35-44",IF(Table1[[#This Row],[Age]]&lt;55,"45-54","55+"))))</f>
        <v>35-44</v>
      </c>
    </row>
    <row r="386" spans="1:12" x14ac:dyDescent="0.3">
      <c r="A386" s="8" t="s">
        <v>409</v>
      </c>
      <c r="B386" s="6">
        <v>57</v>
      </c>
      <c r="C386" s="8" t="s">
        <v>17</v>
      </c>
      <c r="D386" s="6">
        <v>38</v>
      </c>
      <c r="E386" s="2">
        <v>960.4</v>
      </c>
      <c r="F386" s="2">
        <v>35645.85</v>
      </c>
      <c r="G386" s="8" t="s">
        <v>35</v>
      </c>
      <c r="H386" t="s">
        <v>37</v>
      </c>
      <c r="I386">
        <v>8</v>
      </c>
      <c r="J386" t="s">
        <v>15</v>
      </c>
      <c r="K386" s="8" t="s">
        <v>15</v>
      </c>
      <c r="L386" t="str">
        <f>IF(Table1[[#This Row],[Age]]&lt;25,"Under 25",IF(Table1[[#This Row],[Age]]&lt;35,"25-34",IF(Table1[[#This Row],[Age]]&lt;45,"35-44",IF(Table1[[#This Row],[Age]]&lt;55,"45-54","55+"))))</f>
        <v>55+</v>
      </c>
    </row>
    <row r="387" spans="1:12" x14ac:dyDescent="0.3">
      <c r="A387" s="8" t="s">
        <v>410</v>
      </c>
      <c r="B387" s="6">
        <v>36</v>
      </c>
      <c r="C387" s="8" t="s">
        <v>17</v>
      </c>
      <c r="D387" s="6">
        <v>44</v>
      </c>
      <c r="E387" s="2">
        <v>986.47</v>
      </c>
      <c r="F387" s="2">
        <v>39479.839999999997</v>
      </c>
      <c r="G387" s="8" t="s">
        <v>20</v>
      </c>
      <c r="H387" t="s">
        <v>37</v>
      </c>
      <c r="I387">
        <v>4</v>
      </c>
      <c r="J387" t="s">
        <v>22</v>
      </c>
      <c r="K387" s="8" t="s">
        <v>15</v>
      </c>
      <c r="L387" t="str">
        <f>IF(Table1[[#This Row],[Age]]&lt;25,"Under 25",IF(Table1[[#This Row],[Age]]&lt;35,"25-34",IF(Table1[[#This Row],[Age]]&lt;45,"35-44",IF(Table1[[#This Row],[Age]]&lt;55,"45-54","55+"))))</f>
        <v>35-44</v>
      </c>
    </row>
    <row r="388" spans="1:12" x14ac:dyDescent="0.3">
      <c r="A388" s="8" t="s">
        <v>411</v>
      </c>
      <c r="B388" s="6">
        <v>59</v>
      </c>
      <c r="C388" s="8" t="s">
        <v>17</v>
      </c>
      <c r="D388" s="6">
        <v>13</v>
      </c>
      <c r="E388" s="2">
        <v>1174.68</v>
      </c>
      <c r="F388" s="2">
        <v>15497.17</v>
      </c>
      <c r="G388" s="8" t="s">
        <v>20</v>
      </c>
      <c r="H388" t="s">
        <v>25</v>
      </c>
      <c r="I388">
        <v>6</v>
      </c>
      <c r="J388" t="s">
        <v>15</v>
      </c>
      <c r="K388" s="8" t="s">
        <v>23</v>
      </c>
      <c r="L388" t="str">
        <f>IF(Table1[[#This Row],[Age]]&lt;25,"Under 25",IF(Table1[[#This Row],[Age]]&lt;35,"25-34",IF(Table1[[#This Row],[Age]]&lt;45,"35-44",IF(Table1[[#This Row],[Age]]&lt;55,"45-54","55+"))))</f>
        <v>55+</v>
      </c>
    </row>
    <row r="389" spans="1:12" x14ac:dyDescent="0.3">
      <c r="A389" s="8" t="s">
        <v>412</v>
      </c>
      <c r="B389" s="6">
        <v>26</v>
      </c>
      <c r="C389" s="8" t="s">
        <v>12</v>
      </c>
      <c r="D389" s="6">
        <v>42</v>
      </c>
      <c r="E389" s="2">
        <v>2738.18</v>
      </c>
      <c r="F389" s="2">
        <v>108602.54</v>
      </c>
      <c r="G389" s="8" t="s">
        <v>20</v>
      </c>
      <c r="H389" t="s">
        <v>46</v>
      </c>
      <c r="I389">
        <v>6</v>
      </c>
      <c r="J389" t="s">
        <v>15</v>
      </c>
      <c r="K389" s="8" t="s">
        <v>23</v>
      </c>
      <c r="L389" t="str">
        <f>IF(Table1[[#This Row],[Age]]&lt;25,"Under 25",IF(Table1[[#This Row],[Age]]&lt;35,"25-34",IF(Table1[[#This Row],[Age]]&lt;45,"35-44",IF(Table1[[#This Row],[Age]]&lt;55,"45-54","55+"))))</f>
        <v>25-34</v>
      </c>
    </row>
    <row r="390" spans="1:12" x14ac:dyDescent="0.3">
      <c r="A390" s="8" t="s">
        <v>413</v>
      </c>
      <c r="B390" s="6">
        <v>63</v>
      </c>
      <c r="C390" s="8" t="s">
        <v>12</v>
      </c>
      <c r="D390" s="6">
        <v>22</v>
      </c>
      <c r="E390" s="2">
        <v>3769.47</v>
      </c>
      <c r="F390" s="2">
        <v>77401.539999999994</v>
      </c>
      <c r="G390" s="8" t="s">
        <v>13</v>
      </c>
      <c r="H390" t="s">
        <v>46</v>
      </c>
      <c r="I390">
        <v>10</v>
      </c>
      <c r="J390" t="s">
        <v>22</v>
      </c>
      <c r="K390" s="8" t="s">
        <v>23</v>
      </c>
      <c r="L390" t="str">
        <f>IF(Table1[[#This Row],[Age]]&lt;25,"Under 25",IF(Table1[[#This Row],[Age]]&lt;35,"25-34",IF(Table1[[#This Row],[Age]]&lt;45,"35-44",IF(Table1[[#This Row],[Age]]&lt;55,"45-54","55+"))))</f>
        <v>55+</v>
      </c>
    </row>
    <row r="391" spans="1:12" x14ac:dyDescent="0.3">
      <c r="A391" s="8" t="s">
        <v>414</v>
      </c>
      <c r="B391" s="6">
        <v>28</v>
      </c>
      <c r="C391" s="8" t="s">
        <v>12</v>
      </c>
      <c r="D391" s="6">
        <v>19</v>
      </c>
      <c r="E391" s="2">
        <v>939.21</v>
      </c>
      <c r="F391" s="2">
        <v>16402.97</v>
      </c>
      <c r="G391" s="8" t="s">
        <v>13</v>
      </c>
      <c r="H391" t="s">
        <v>25</v>
      </c>
      <c r="I391">
        <v>2</v>
      </c>
      <c r="J391" t="s">
        <v>15</v>
      </c>
      <c r="K391" s="8" t="s">
        <v>15</v>
      </c>
      <c r="L391" t="str">
        <f>IF(Table1[[#This Row],[Age]]&lt;25,"Under 25",IF(Table1[[#This Row],[Age]]&lt;35,"25-34",IF(Table1[[#This Row],[Age]]&lt;45,"35-44",IF(Table1[[#This Row],[Age]]&lt;55,"45-54","55+"))))</f>
        <v>25-34</v>
      </c>
    </row>
    <row r="392" spans="1:12" x14ac:dyDescent="0.3">
      <c r="A392" s="8" t="s">
        <v>415</v>
      </c>
      <c r="B392" s="6">
        <v>59</v>
      </c>
      <c r="C392" s="8" t="s">
        <v>12</v>
      </c>
      <c r="D392" s="6">
        <v>15</v>
      </c>
      <c r="E392" s="2">
        <v>2098.7800000000002</v>
      </c>
      <c r="F392" s="2">
        <v>31847.88</v>
      </c>
      <c r="G392" s="8" t="s">
        <v>13</v>
      </c>
      <c r="H392" t="s">
        <v>37</v>
      </c>
      <c r="I392">
        <v>5</v>
      </c>
      <c r="J392" t="s">
        <v>22</v>
      </c>
      <c r="K392" s="8" t="s">
        <v>15</v>
      </c>
      <c r="L392" t="str">
        <f>IF(Table1[[#This Row],[Age]]&lt;25,"Under 25",IF(Table1[[#This Row],[Age]]&lt;35,"25-34",IF(Table1[[#This Row],[Age]]&lt;45,"35-44",IF(Table1[[#This Row],[Age]]&lt;55,"45-54","55+"))))</f>
        <v>55+</v>
      </c>
    </row>
    <row r="393" spans="1:12" x14ac:dyDescent="0.3">
      <c r="A393" s="8" t="s">
        <v>416</v>
      </c>
      <c r="B393" s="6">
        <v>47</v>
      </c>
      <c r="C393" s="8" t="s">
        <v>12</v>
      </c>
      <c r="D393" s="6">
        <v>31</v>
      </c>
      <c r="E393" s="2">
        <v>741.55</v>
      </c>
      <c r="F393" s="2">
        <v>22876.78</v>
      </c>
      <c r="G393" s="8" t="s">
        <v>35</v>
      </c>
      <c r="H393" t="s">
        <v>25</v>
      </c>
      <c r="I393">
        <v>1</v>
      </c>
      <c r="J393" t="s">
        <v>22</v>
      </c>
      <c r="K393" s="8" t="s">
        <v>15</v>
      </c>
      <c r="L393" t="str">
        <f>IF(Table1[[#This Row],[Age]]&lt;25,"Under 25",IF(Table1[[#This Row],[Age]]&lt;35,"25-34",IF(Table1[[#This Row],[Age]]&lt;45,"35-44",IF(Table1[[#This Row],[Age]]&lt;55,"45-54","55+"))))</f>
        <v>45-54</v>
      </c>
    </row>
    <row r="394" spans="1:12" x14ac:dyDescent="0.3">
      <c r="A394" s="8" t="s">
        <v>417</v>
      </c>
      <c r="B394" s="6">
        <v>50</v>
      </c>
      <c r="C394" s="8" t="s">
        <v>12</v>
      </c>
      <c r="D394" s="6">
        <v>56</v>
      </c>
      <c r="E394" s="2">
        <v>3563.14</v>
      </c>
      <c r="F394" s="2">
        <v>195440.52</v>
      </c>
      <c r="G394" s="8" t="s">
        <v>13</v>
      </c>
      <c r="H394" t="s">
        <v>21</v>
      </c>
      <c r="I394">
        <v>2</v>
      </c>
      <c r="J394" t="s">
        <v>18</v>
      </c>
      <c r="K394" s="8" t="s">
        <v>23</v>
      </c>
      <c r="L394" t="str">
        <f>IF(Table1[[#This Row],[Age]]&lt;25,"Under 25",IF(Table1[[#This Row],[Age]]&lt;35,"25-34",IF(Table1[[#This Row],[Age]]&lt;45,"35-44",IF(Table1[[#This Row],[Age]]&lt;55,"45-54","55+"))))</f>
        <v>45-54</v>
      </c>
    </row>
    <row r="395" spans="1:12" x14ac:dyDescent="0.3">
      <c r="A395" s="8" t="s">
        <v>418</v>
      </c>
      <c r="B395" s="6">
        <v>54</v>
      </c>
      <c r="C395" s="8" t="s">
        <v>17</v>
      </c>
      <c r="D395" s="6">
        <v>10</v>
      </c>
      <c r="E395" s="2">
        <v>1923.73</v>
      </c>
      <c r="F395" s="2">
        <v>19378.7</v>
      </c>
      <c r="G395" s="8" t="s">
        <v>35</v>
      </c>
      <c r="H395" t="s">
        <v>46</v>
      </c>
      <c r="I395">
        <v>5</v>
      </c>
      <c r="J395" t="s">
        <v>15</v>
      </c>
      <c r="K395" s="8" t="s">
        <v>15</v>
      </c>
      <c r="L395" t="str">
        <f>IF(Table1[[#This Row],[Age]]&lt;25,"Under 25",IF(Table1[[#This Row],[Age]]&lt;35,"25-34",IF(Table1[[#This Row],[Age]]&lt;45,"35-44",IF(Table1[[#This Row],[Age]]&lt;55,"45-54","55+"))))</f>
        <v>45-54</v>
      </c>
    </row>
    <row r="396" spans="1:12" x14ac:dyDescent="0.3">
      <c r="A396" s="8" t="s">
        <v>419</v>
      </c>
      <c r="B396" s="6">
        <v>38</v>
      </c>
      <c r="C396" s="8" t="s">
        <v>12</v>
      </c>
      <c r="D396" s="6">
        <v>1</v>
      </c>
      <c r="E396" s="2">
        <v>2534.2399999999998</v>
      </c>
      <c r="F396" s="2">
        <v>2360.41</v>
      </c>
      <c r="G396" s="8" t="s">
        <v>35</v>
      </c>
      <c r="H396" t="s">
        <v>25</v>
      </c>
      <c r="I396">
        <v>2</v>
      </c>
      <c r="J396" t="s">
        <v>22</v>
      </c>
      <c r="K396" s="8" t="s">
        <v>15</v>
      </c>
      <c r="L396" t="str">
        <f>IF(Table1[[#This Row],[Age]]&lt;25,"Under 25",IF(Table1[[#This Row],[Age]]&lt;35,"25-34",IF(Table1[[#This Row],[Age]]&lt;45,"35-44",IF(Table1[[#This Row],[Age]]&lt;55,"45-54","55+"))))</f>
        <v>35-44</v>
      </c>
    </row>
    <row r="397" spans="1:12" x14ac:dyDescent="0.3">
      <c r="A397" s="8" t="s">
        <v>420</v>
      </c>
      <c r="B397" s="6">
        <v>23</v>
      </c>
      <c r="C397" s="8" t="s">
        <v>12</v>
      </c>
      <c r="D397" s="6">
        <v>40</v>
      </c>
      <c r="E397" s="2">
        <v>2451.6999999999998</v>
      </c>
      <c r="F397" s="2">
        <v>94577.9</v>
      </c>
      <c r="G397" s="8" t="s">
        <v>13</v>
      </c>
      <c r="H397" t="s">
        <v>46</v>
      </c>
      <c r="I397">
        <v>6</v>
      </c>
      <c r="J397" t="s">
        <v>18</v>
      </c>
      <c r="K397" s="8" t="s">
        <v>23</v>
      </c>
      <c r="L397" t="str">
        <f>IF(Table1[[#This Row],[Age]]&lt;25,"Under 25",IF(Table1[[#This Row],[Age]]&lt;35,"25-34",IF(Table1[[#This Row],[Age]]&lt;45,"35-44",IF(Table1[[#This Row],[Age]]&lt;55,"45-54","55+"))))</f>
        <v>Under 25</v>
      </c>
    </row>
    <row r="398" spans="1:12" x14ac:dyDescent="0.3">
      <c r="A398" s="8" t="s">
        <v>421</v>
      </c>
      <c r="B398" s="6">
        <v>30</v>
      </c>
      <c r="C398" s="8" t="s">
        <v>17</v>
      </c>
      <c r="D398" s="6">
        <v>1</v>
      </c>
      <c r="E398" s="2">
        <v>4514.03</v>
      </c>
      <c r="F398" s="2">
        <v>4575.09</v>
      </c>
      <c r="G398" s="8" t="s">
        <v>13</v>
      </c>
      <c r="H398" t="s">
        <v>14</v>
      </c>
      <c r="I398">
        <v>10</v>
      </c>
      <c r="J398" t="s">
        <v>18</v>
      </c>
      <c r="K398" s="8" t="s">
        <v>23</v>
      </c>
      <c r="L398" t="str">
        <f>IF(Table1[[#This Row],[Age]]&lt;25,"Under 25",IF(Table1[[#This Row],[Age]]&lt;35,"25-34",IF(Table1[[#This Row],[Age]]&lt;45,"35-44",IF(Table1[[#This Row],[Age]]&lt;55,"45-54","55+"))))</f>
        <v>25-34</v>
      </c>
    </row>
    <row r="399" spans="1:12" x14ac:dyDescent="0.3">
      <c r="A399" s="8" t="s">
        <v>422</v>
      </c>
      <c r="B399" s="6">
        <v>33</v>
      </c>
      <c r="C399" s="8" t="s">
        <v>12</v>
      </c>
      <c r="D399" s="6">
        <v>45</v>
      </c>
      <c r="E399" s="2">
        <v>4446.43</v>
      </c>
      <c r="F399" s="2">
        <v>189447.37</v>
      </c>
      <c r="G399" s="8" t="s">
        <v>13</v>
      </c>
      <c r="H399" t="s">
        <v>25</v>
      </c>
      <c r="I399">
        <v>9</v>
      </c>
      <c r="J399" t="s">
        <v>22</v>
      </c>
      <c r="K399" s="8" t="s">
        <v>23</v>
      </c>
      <c r="L399" t="str">
        <f>IF(Table1[[#This Row],[Age]]&lt;25,"Under 25",IF(Table1[[#This Row],[Age]]&lt;35,"25-34",IF(Table1[[#This Row],[Age]]&lt;45,"35-44",IF(Table1[[#This Row],[Age]]&lt;55,"45-54","55+"))))</f>
        <v>25-34</v>
      </c>
    </row>
    <row r="400" spans="1:12" x14ac:dyDescent="0.3">
      <c r="A400" s="8" t="s">
        <v>423</v>
      </c>
      <c r="B400" s="6">
        <v>20</v>
      </c>
      <c r="C400" s="8" t="s">
        <v>17</v>
      </c>
      <c r="D400" s="6">
        <v>19</v>
      </c>
      <c r="E400" s="2">
        <v>2551.67</v>
      </c>
      <c r="F400" s="2">
        <v>47417.23</v>
      </c>
      <c r="G400" s="8" t="s">
        <v>13</v>
      </c>
      <c r="H400" t="s">
        <v>46</v>
      </c>
      <c r="I400">
        <v>10</v>
      </c>
      <c r="J400" t="s">
        <v>18</v>
      </c>
      <c r="K400" s="8" t="s">
        <v>23</v>
      </c>
      <c r="L400" t="str">
        <f>IF(Table1[[#This Row],[Age]]&lt;25,"Under 25",IF(Table1[[#This Row],[Age]]&lt;35,"25-34",IF(Table1[[#This Row],[Age]]&lt;45,"35-44",IF(Table1[[#This Row],[Age]]&lt;55,"45-54","55+"))))</f>
        <v>Under 25</v>
      </c>
    </row>
    <row r="401" spans="1:12" x14ac:dyDescent="0.3">
      <c r="A401" s="8" t="s">
        <v>424</v>
      </c>
      <c r="B401" s="6">
        <v>49</v>
      </c>
      <c r="C401" s="8" t="s">
        <v>17</v>
      </c>
      <c r="D401" s="6">
        <v>49</v>
      </c>
      <c r="E401" s="2">
        <v>1347.92</v>
      </c>
      <c r="F401" s="2">
        <v>68836.14</v>
      </c>
      <c r="G401" s="8" t="s">
        <v>20</v>
      </c>
      <c r="H401" t="s">
        <v>46</v>
      </c>
      <c r="I401">
        <v>0</v>
      </c>
      <c r="J401" t="s">
        <v>18</v>
      </c>
      <c r="K401" s="8" t="s">
        <v>15</v>
      </c>
      <c r="L401" t="str">
        <f>IF(Table1[[#This Row],[Age]]&lt;25,"Under 25",IF(Table1[[#This Row],[Age]]&lt;35,"25-34",IF(Table1[[#This Row],[Age]]&lt;45,"35-44",IF(Table1[[#This Row],[Age]]&lt;55,"45-54","55+"))))</f>
        <v>45-54</v>
      </c>
    </row>
    <row r="402" spans="1:12" x14ac:dyDescent="0.3">
      <c r="A402" s="8" t="s">
        <v>425</v>
      </c>
      <c r="B402" s="6">
        <v>26</v>
      </c>
      <c r="C402" s="8" t="s">
        <v>12</v>
      </c>
      <c r="D402" s="6">
        <v>47</v>
      </c>
      <c r="E402" s="2">
        <v>598.61</v>
      </c>
      <c r="F402" s="2">
        <v>27450.86</v>
      </c>
      <c r="G402" s="8" t="s">
        <v>13</v>
      </c>
      <c r="H402" t="s">
        <v>14</v>
      </c>
      <c r="I402">
        <v>6</v>
      </c>
      <c r="J402" t="s">
        <v>15</v>
      </c>
      <c r="K402" s="8" t="s">
        <v>23</v>
      </c>
      <c r="L402" t="str">
        <f>IF(Table1[[#This Row],[Age]]&lt;25,"Under 25",IF(Table1[[#This Row],[Age]]&lt;35,"25-34",IF(Table1[[#This Row],[Age]]&lt;45,"35-44",IF(Table1[[#This Row],[Age]]&lt;55,"45-54","55+"))))</f>
        <v>25-34</v>
      </c>
    </row>
    <row r="403" spans="1:12" x14ac:dyDescent="0.3">
      <c r="A403" s="8" t="s">
        <v>426</v>
      </c>
      <c r="B403" s="6">
        <v>52</v>
      </c>
      <c r="C403" s="8" t="s">
        <v>12</v>
      </c>
      <c r="D403" s="6">
        <v>39</v>
      </c>
      <c r="E403" s="2">
        <v>4976.0600000000004</v>
      </c>
      <c r="F403" s="2">
        <v>193929.62</v>
      </c>
      <c r="G403" s="8" t="s">
        <v>35</v>
      </c>
      <c r="H403" t="s">
        <v>14</v>
      </c>
      <c r="I403">
        <v>0</v>
      </c>
      <c r="J403" t="s">
        <v>15</v>
      </c>
      <c r="K403" s="8" t="s">
        <v>23</v>
      </c>
      <c r="L403" t="str">
        <f>IF(Table1[[#This Row],[Age]]&lt;25,"Under 25",IF(Table1[[#This Row],[Age]]&lt;35,"25-34",IF(Table1[[#This Row],[Age]]&lt;45,"35-44",IF(Table1[[#This Row],[Age]]&lt;55,"45-54","55+"))))</f>
        <v>45-54</v>
      </c>
    </row>
    <row r="404" spans="1:12" x14ac:dyDescent="0.3">
      <c r="A404" s="8" t="s">
        <v>427</v>
      </c>
      <c r="B404" s="6">
        <v>46</v>
      </c>
      <c r="C404" s="8" t="s">
        <v>17</v>
      </c>
      <c r="D404" s="6">
        <v>8</v>
      </c>
      <c r="E404" s="2">
        <v>2962.77</v>
      </c>
      <c r="F404" s="2">
        <v>23018.58</v>
      </c>
      <c r="G404" s="8" t="s">
        <v>13</v>
      </c>
      <c r="H404" t="s">
        <v>14</v>
      </c>
      <c r="I404">
        <v>4</v>
      </c>
      <c r="J404" t="s">
        <v>22</v>
      </c>
      <c r="K404" s="8" t="s">
        <v>15</v>
      </c>
      <c r="L404" t="str">
        <f>IF(Table1[[#This Row],[Age]]&lt;25,"Under 25",IF(Table1[[#This Row],[Age]]&lt;35,"25-34",IF(Table1[[#This Row],[Age]]&lt;45,"35-44",IF(Table1[[#This Row],[Age]]&lt;55,"45-54","55+"))))</f>
        <v>45-54</v>
      </c>
    </row>
    <row r="405" spans="1:12" x14ac:dyDescent="0.3">
      <c r="A405" s="8" t="s">
        <v>428</v>
      </c>
      <c r="B405" s="6">
        <v>60</v>
      </c>
      <c r="C405" s="8" t="s">
        <v>17</v>
      </c>
      <c r="D405" s="6">
        <v>40</v>
      </c>
      <c r="E405" s="2">
        <v>3225.35</v>
      </c>
      <c r="F405" s="2">
        <v>118767</v>
      </c>
      <c r="G405" s="8" t="s">
        <v>20</v>
      </c>
      <c r="H405" t="s">
        <v>14</v>
      </c>
      <c r="I405">
        <v>8</v>
      </c>
      <c r="J405" t="s">
        <v>15</v>
      </c>
      <c r="K405" s="8" t="s">
        <v>15</v>
      </c>
      <c r="L405" t="str">
        <f>IF(Table1[[#This Row],[Age]]&lt;25,"Under 25",IF(Table1[[#This Row],[Age]]&lt;35,"25-34",IF(Table1[[#This Row],[Age]]&lt;45,"35-44",IF(Table1[[#This Row],[Age]]&lt;55,"45-54","55+"))))</f>
        <v>55+</v>
      </c>
    </row>
    <row r="406" spans="1:12" x14ac:dyDescent="0.3">
      <c r="A406" s="8" t="s">
        <v>429</v>
      </c>
      <c r="B406" s="6">
        <v>36</v>
      </c>
      <c r="C406" s="8" t="s">
        <v>12</v>
      </c>
      <c r="D406" s="6">
        <v>51</v>
      </c>
      <c r="E406" s="2">
        <v>978.19</v>
      </c>
      <c r="F406" s="2">
        <v>46385.42</v>
      </c>
      <c r="G406" s="8" t="s">
        <v>13</v>
      </c>
      <c r="H406" t="s">
        <v>37</v>
      </c>
      <c r="I406">
        <v>8</v>
      </c>
      <c r="J406" t="s">
        <v>18</v>
      </c>
      <c r="K406" s="8" t="s">
        <v>23</v>
      </c>
      <c r="L406" t="str">
        <f>IF(Table1[[#This Row],[Age]]&lt;25,"Under 25",IF(Table1[[#This Row],[Age]]&lt;35,"25-34",IF(Table1[[#This Row],[Age]]&lt;45,"35-44",IF(Table1[[#This Row],[Age]]&lt;55,"45-54","55+"))))</f>
        <v>35-44</v>
      </c>
    </row>
    <row r="407" spans="1:12" x14ac:dyDescent="0.3">
      <c r="A407" s="8" t="s">
        <v>430</v>
      </c>
      <c r="B407" s="6">
        <v>44</v>
      </c>
      <c r="C407" s="8" t="s">
        <v>17</v>
      </c>
      <c r="D407" s="6">
        <v>11</v>
      </c>
      <c r="E407" s="2">
        <v>677.33</v>
      </c>
      <c r="F407" s="2">
        <v>7260.29</v>
      </c>
      <c r="G407" s="8" t="s">
        <v>13</v>
      </c>
      <c r="H407" t="s">
        <v>46</v>
      </c>
      <c r="I407">
        <v>5</v>
      </c>
      <c r="J407" t="s">
        <v>18</v>
      </c>
      <c r="K407" s="8" t="s">
        <v>23</v>
      </c>
      <c r="L407" t="str">
        <f>IF(Table1[[#This Row],[Age]]&lt;25,"Under 25",IF(Table1[[#This Row],[Age]]&lt;35,"25-34",IF(Table1[[#This Row],[Age]]&lt;45,"35-44",IF(Table1[[#This Row],[Age]]&lt;55,"45-54","55+"))))</f>
        <v>35-44</v>
      </c>
    </row>
    <row r="408" spans="1:12" x14ac:dyDescent="0.3">
      <c r="A408" s="8" t="s">
        <v>431</v>
      </c>
      <c r="B408" s="6">
        <v>60</v>
      </c>
      <c r="C408" s="8" t="s">
        <v>12</v>
      </c>
      <c r="D408" s="6">
        <v>59</v>
      </c>
      <c r="E408" s="2">
        <v>996.94</v>
      </c>
      <c r="F408" s="2">
        <v>58003.22</v>
      </c>
      <c r="G408" s="8" t="s">
        <v>13</v>
      </c>
      <c r="H408" t="s">
        <v>14</v>
      </c>
      <c r="I408">
        <v>8</v>
      </c>
      <c r="J408" t="s">
        <v>18</v>
      </c>
      <c r="K408" s="8" t="s">
        <v>15</v>
      </c>
      <c r="L408" t="str">
        <f>IF(Table1[[#This Row],[Age]]&lt;25,"Under 25",IF(Table1[[#This Row],[Age]]&lt;35,"25-34",IF(Table1[[#This Row],[Age]]&lt;45,"35-44",IF(Table1[[#This Row],[Age]]&lt;55,"45-54","55+"))))</f>
        <v>55+</v>
      </c>
    </row>
    <row r="409" spans="1:12" x14ac:dyDescent="0.3">
      <c r="A409" s="8" t="s">
        <v>432</v>
      </c>
      <c r="B409" s="6">
        <v>24</v>
      </c>
      <c r="C409" s="8" t="s">
        <v>17</v>
      </c>
      <c r="D409" s="6">
        <v>42</v>
      </c>
      <c r="E409" s="2">
        <v>1540.22</v>
      </c>
      <c r="F409" s="2">
        <v>67813.72</v>
      </c>
      <c r="G409" s="8" t="s">
        <v>13</v>
      </c>
      <c r="H409" t="s">
        <v>46</v>
      </c>
      <c r="I409">
        <v>0</v>
      </c>
      <c r="J409" t="s">
        <v>18</v>
      </c>
      <c r="K409" s="8" t="s">
        <v>15</v>
      </c>
      <c r="L409" t="str">
        <f>IF(Table1[[#This Row],[Age]]&lt;25,"Under 25",IF(Table1[[#This Row],[Age]]&lt;35,"25-34",IF(Table1[[#This Row],[Age]]&lt;45,"35-44",IF(Table1[[#This Row],[Age]]&lt;55,"45-54","55+"))))</f>
        <v>Under 25</v>
      </c>
    </row>
    <row r="410" spans="1:12" x14ac:dyDescent="0.3">
      <c r="A410" s="8" t="s">
        <v>433</v>
      </c>
      <c r="B410" s="6">
        <v>20</v>
      </c>
      <c r="C410" s="8" t="s">
        <v>17</v>
      </c>
      <c r="D410" s="6">
        <v>24</v>
      </c>
      <c r="E410" s="2">
        <v>4107.18</v>
      </c>
      <c r="F410" s="2">
        <v>93338.73</v>
      </c>
      <c r="G410" s="8" t="s">
        <v>35</v>
      </c>
      <c r="H410" t="s">
        <v>14</v>
      </c>
      <c r="I410">
        <v>0</v>
      </c>
      <c r="J410" t="s">
        <v>18</v>
      </c>
      <c r="K410" s="8" t="s">
        <v>15</v>
      </c>
      <c r="L410" t="str">
        <f>IF(Table1[[#This Row],[Age]]&lt;25,"Under 25",IF(Table1[[#This Row],[Age]]&lt;35,"25-34",IF(Table1[[#This Row],[Age]]&lt;45,"35-44",IF(Table1[[#This Row],[Age]]&lt;55,"45-54","55+"))))</f>
        <v>Under 25</v>
      </c>
    </row>
    <row r="411" spans="1:12" x14ac:dyDescent="0.3">
      <c r="A411" s="8" t="s">
        <v>434</v>
      </c>
      <c r="B411" s="6">
        <v>60</v>
      </c>
      <c r="C411" s="8" t="s">
        <v>12</v>
      </c>
      <c r="D411" s="6">
        <v>22</v>
      </c>
      <c r="E411" s="2">
        <v>2108.87</v>
      </c>
      <c r="F411" s="2">
        <v>44801.8</v>
      </c>
      <c r="G411" s="8" t="s">
        <v>35</v>
      </c>
      <c r="H411" t="s">
        <v>14</v>
      </c>
      <c r="I411">
        <v>5</v>
      </c>
      <c r="J411" t="s">
        <v>22</v>
      </c>
      <c r="K411" s="8" t="s">
        <v>23</v>
      </c>
      <c r="L411" t="str">
        <f>IF(Table1[[#This Row],[Age]]&lt;25,"Under 25",IF(Table1[[#This Row],[Age]]&lt;35,"25-34",IF(Table1[[#This Row],[Age]]&lt;45,"35-44",IF(Table1[[#This Row],[Age]]&lt;55,"45-54","55+"))))</f>
        <v>55+</v>
      </c>
    </row>
    <row r="412" spans="1:12" x14ac:dyDescent="0.3">
      <c r="A412" s="8" t="s">
        <v>435</v>
      </c>
      <c r="B412" s="6">
        <v>43</v>
      </c>
      <c r="C412" s="8" t="s">
        <v>17</v>
      </c>
      <c r="D412" s="6">
        <v>30</v>
      </c>
      <c r="E412" s="2">
        <v>1723.25</v>
      </c>
      <c r="F412" s="2">
        <v>49518.83</v>
      </c>
      <c r="G412" s="8" t="s">
        <v>20</v>
      </c>
      <c r="H412" t="s">
        <v>46</v>
      </c>
      <c r="I412">
        <v>10</v>
      </c>
      <c r="J412" t="s">
        <v>18</v>
      </c>
      <c r="K412" s="8" t="s">
        <v>23</v>
      </c>
      <c r="L412" t="str">
        <f>IF(Table1[[#This Row],[Age]]&lt;25,"Under 25",IF(Table1[[#This Row],[Age]]&lt;35,"25-34",IF(Table1[[#This Row],[Age]]&lt;45,"35-44",IF(Table1[[#This Row],[Age]]&lt;55,"45-54","55+"))))</f>
        <v>35-44</v>
      </c>
    </row>
    <row r="413" spans="1:12" x14ac:dyDescent="0.3">
      <c r="A413" s="8" t="s">
        <v>436</v>
      </c>
      <c r="B413" s="6">
        <v>62</v>
      </c>
      <c r="C413" s="8" t="s">
        <v>12</v>
      </c>
      <c r="D413" s="6">
        <v>55</v>
      </c>
      <c r="E413" s="2">
        <v>1217.28</v>
      </c>
      <c r="F413" s="2">
        <v>64433.34</v>
      </c>
      <c r="G413" s="8" t="s">
        <v>35</v>
      </c>
      <c r="H413" t="s">
        <v>25</v>
      </c>
      <c r="I413">
        <v>10</v>
      </c>
      <c r="J413" t="s">
        <v>22</v>
      </c>
      <c r="K413" s="8" t="s">
        <v>23</v>
      </c>
      <c r="L413" t="str">
        <f>IF(Table1[[#This Row],[Age]]&lt;25,"Under 25",IF(Table1[[#This Row],[Age]]&lt;35,"25-34",IF(Table1[[#This Row],[Age]]&lt;45,"35-44",IF(Table1[[#This Row],[Age]]&lt;55,"45-54","55+"))))</f>
        <v>55+</v>
      </c>
    </row>
    <row r="414" spans="1:12" x14ac:dyDescent="0.3">
      <c r="A414" s="8" t="s">
        <v>437</v>
      </c>
      <c r="B414" s="6">
        <v>42</v>
      </c>
      <c r="C414" s="8" t="s">
        <v>17</v>
      </c>
      <c r="D414" s="6">
        <v>40</v>
      </c>
      <c r="E414" s="2">
        <v>629.66999999999996</v>
      </c>
      <c r="F414" s="2">
        <v>25254.04</v>
      </c>
      <c r="G414" s="8" t="s">
        <v>20</v>
      </c>
      <c r="H414" t="s">
        <v>21</v>
      </c>
      <c r="I414">
        <v>7</v>
      </c>
      <c r="J414" t="s">
        <v>22</v>
      </c>
      <c r="K414" s="8" t="s">
        <v>23</v>
      </c>
      <c r="L414" t="str">
        <f>IF(Table1[[#This Row],[Age]]&lt;25,"Under 25",IF(Table1[[#This Row],[Age]]&lt;35,"25-34",IF(Table1[[#This Row],[Age]]&lt;45,"35-44",IF(Table1[[#This Row],[Age]]&lt;55,"45-54","55+"))))</f>
        <v>35-44</v>
      </c>
    </row>
    <row r="415" spans="1:12" x14ac:dyDescent="0.3">
      <c r="A415" s="8" t="s">
        <v>438</v>
      </c>
      <c r="B415" s="6">
        <v>44</v>
      </c>
      <c r="C415" s="8" t="s">
        <v>17</v>
      </c>
      <c r="D415" s="6">
        <v>3</v>
      </c>
      <c r="E415" s="2">
        <v>785.01</v>
      </c>
      <c r="F415" s="2">
        <v>2350.9</v>
      </c>
      <c r="G415" s="8" t="s">
        <v>13</v>
      </c>
      <c r="H415" t="s">
        <v>25</v>
      </c>
      <c r="I415">
        <v>9</v>
      </c>
      <c r="J415" t="s">
        <v>15</v>
      </c>
      <c r="K415" s="8" t="s">
        <v>23</v>
      </c>
      <c r="L415" t="str">
        <f>IF(Table1[[#This Row],[Age]]&lt;25,"Under 25",IF(Table1[[#This Row],[Age]]&lt;35,"25-34",IF(Table1[[#This Row],[Age]]&lt;45,"35-44",IF(Table1[[#This Row],[Age]]&lt;55,"45-54","55+"))))</f>
        <v>35-44</v>
      </c>
    </row>
    <row r="416" spans="1:12" x14ac:dyDescent="0.3">
      <c r="A416" s="8" t="s">
        <v>439</v>
      </c>
      <c r="B416" s="6">
        <v>60</v>
      </c>
      <c r="C416" s="8" t="s">
        <v>17</v>
      </c>
      <c r="D416" s="6">
        <v>34</v>
      </c>
      <c r="E416" s="2">
        <v>2853.96</v>
      </c>
      <c r="F416" s="2">
        <v>97528.26</v>
      </c>
      <c r="G416" s="8" t="s">
        <v>13</v>
      </c>
      <c r="H416" t="s">
        <v>21</v>
      </c>
      <c r="I416">
        <v>7</v>
      </c>
      <c r="J416" t="s">
        <v>22</v>
      </c>
      <c r="K416" s="8" t="s">
        <v>15</v>
      </c>
      <c r="L416" t="str">
        <f>IF(Table1[[#This Row],[Age]]&lt;25,"Under 25",IF(Table1[[#This Row],[Age]]&lt;35,"25-34",IF(Table1[[#This Row],[Age]]&lt;45,"35-44",IF(Table1[[#This Row],[Age]]&lt;55,"45-54","55+"))))</f>
        <v>55+</v>
      </c>
    </row>
    <row r="417" spans="1:12" x14ac:dyDescent="0.3">
      <c r="A417" s="8" t="s">
        <v>440</v>
      </c>
      <c r="B417" s="6">
        <v>59</v>
      </c>
      <c r="C417" s="8" t="s">
        <v>17</v>
      </c>
      <c r="D417" s="6">
        <v>10</v>
      </c>
      <c r="E417" s="2">
        <v>4275.6499999999996</v>
      </c>
      <c r="F417" s="2">
        <v>42061.78</v>
      </c>
      <c r="G417" s="8" t="s">
        <v>20</v>
      </c>
      <c r="H417" t="s">
        <v>14</v>
      </c>
      <c r="I417">
        <v>0</v>
      </c>
      <c r="J417" t="s">
        <v>15</v>
      </c>
      <c r="K417" s="8" t="s">
        <v>15</v>
      </c>
      <c r="L417" t="str">
        <f>IF(Table1[[#This Row],[Age]]&lt;25,"Under 25",IF(Table1[[#This Row],[Age]]&lt;35,"25-34",IF(Table1[[#This Row],[Age]]&lt;45,"35-44",IF(Table1[[#This Row],[Age]]&lt;55,"45-54","55+"))))</f>
        <v>55+</v>
      </c>
    </row>
    <row r="418" spans="1:12" x14ac:dyDescent="0.3">
      <c r="A418" s="8" t="s">
        <v>441</v>
      </c>
      <c r="B418" s="6">
        <v>50</v>
      </c>
      <c r="C418" s="8" t="s">
        <v>17</v>
      </c>
      <c r="D418" s="6">
        <v>55</v>
      </c>
      <c r="E418" s="2">
        <v>2731.26</v>
      </c>
      <c r="F418" s="2">
        <v>138924.4</v>
      </c>
      <c r="G418" s="8" t="s">
        <v>35</v>
      </c>
      <c r="H418" t="s">
        <v>37</v>
      </c>
      <c r="I418">
        <v>3</v>
      </c>
      <c r="J418" t="s">
        <v>22</v>
      </c>
      <c r="K418" s="8" t="s">
        <v>15</v>
      </c>
      <c r="L418" t="str">
        <f>IF(Table1[[#This Row],[Age]]&lt;25,"Under 25",IF(Table1[[#This Row],[Age]]&lt;35,"25-34",IF(Table1[[#This Row],[Age]]&lt;45,"35-44",IF(Table1[[#This Row],[Age]]&lt;55,"45-54","55+"))))</f>
        <v>45-54</v>
      </c>
    </row>
    <row r="419" spans="1:12" x14ac:dyDescent="0.3">
      <c r="A419" s="8" t="s">
        <v>442</v>
      </c>
      <c r="B419" s="6">
        <v>21</v>
      </c>
      <c r="C419" s="8" t="s">
        <v>12</v>
      </c>
      <c r="D419" s="6">
        <v>36</v>
      </c>
      <c r="E419" s="2">
        <v>3394.93</v>
      </c>
      <c r="F419" s="2">
        <v>117388.86</v>
      </c>
      <c r="G419" s="8" t="s">
        <v>13</v>
      </c>
      <c r="H419" t="s">
        <v>46</v>
      </c>
      <c r="I419">
        <v>7</v>
      </c>
      <c r="J419" t="s">
        <v>15</v>
      </c>
      <c r="K419" s="8" t="s">
        <v>15</v>
      </c>
      <c r="L419" t="str">
        <f>IF(Table1[[#This Row],[Age]]&lt;25,"Under 25",IF(Table1[[#This Row],[Age]]&lt;35,"25-34",IF(Table1[[#This Row],[Age]]&lt;45,"35-44",IF(Table1[[#This Row],[Age]]&lt;55,"45-54","55+"))))</f>
        <v>Under 25</v>
      </c>
    </row>
    <row r="420" spans="1:12" x14ac:dyDescent="0.3">
      <c r="A420" s="8" t="s">
        <v>443</v>
      </c>
      <c r="B420" s="6">
        <v>49</v>
      </c>
      <c r="C420" s="8" t="s">
        <v>17</v>
      </c>
      <c r="D420" s="6">
        <v>21</v>
      </c>
      <c r="E420" s="2">
        <v>1034.18</v>
      </c>
      <c r="F420" s="2">
        <v>21166.28</v>
      </c>
      <c r="G420" s="8" t="s">
        <v>35</v>
      </c>
      <c r="H420" t="s">
        <v>14</v>
      </c>
      <c r="I420">
        <v>6</v>
      </c>
      <c r="J420" t="s">
        <v>22</v>
      </c>
      <c r="K420" s="8" t="s">
        <v>23</v>
      </c>
      <c r="L420" t="str">
        <f>IF(Table1[[#This Row],[Age]]&lt;25,"Under 25",IF(Table1[[#This Row],[Age]]&lt;35,"25-34",IF(Table1[[#This Row],[Age]]&lt;45,"35-44",IF(Table1[[#This Row],[Age]]&lt;55,"45-54","55+"))))</f>
        <v>45-54</v>
      </c>
    </row>
    <row r="421" spans="1:12" x14ac:dyDescent="0.3">
      <c r="A421" s="8" t="s">
        <v>444</v>
      </c>
      <c r="B421" s="6">
        <v>53</v>
      </c>
      <c r="C421" s="8" t="s">
        <v>12</v>
      </c>
      <c r="D421" s="6">
        <v>53</v>
      </c>
      <c r="E421" s="2">
        <v>909.03</v>
      </c>
      <c r="F421" s="2">
        <v>47727.18</v>
      </c>
      <c r="G421" s="8" t="s">
        <v>35</v>
      </c>
      <c r="H421" t="s">
        <v>37</v>
      </c>
      <c r="I421">
        <v>8</v>
      </c>
      <c r="J421" t="s">
        <v>15</v>
      </c>
      <c r="K421" s="8" t="s">
        <v>23</v>
      </c>
      <c r="L421" t="str">
        <f>IF(Table1[[#This Row],[Age]]&lt;25,"Under 25",IF(Table1[[#This Row],[Age]]&lt;35,"25-34",IF(Table1[[#This Row],[Age]]&lt;45,"35-44",IF(Table1[[#This Row],[Age]]&lt;55,"45-54","55+"))))</f>
        <v>45-54</v>
      </c>
    </row>
    <row r="422" spans="1:12" x14ac:dyDescent="0.3">
      <c r="A422" s="8" t="s">
        <v>445</v>
      </c>
      <c r="B422" s="6">
        <v>60</v>
      </c>
      <c r="C422" s="8" t="s">
        <v>17</v>
      </c>
      <c r="D422" s="6">
        <v>22</v>
      </c>
      <c r="E422" s="2">
        <v>2135.04</v>
      </c>
      <c r="F422" s="2">
        <v>42656.2</v>
      </c>
      <c r="G422" s="8" t="s">
        <v>13</v>
      </c>
      <c r="H422" t="s">
        <v>46</v>
      </c>
      <c r="I422">
        <v>5</v>
      </c>
      <c r="J422" t="s">
        <v>15</v>
      </c>
      <c r="K422" s="8" t="s">
        <v>15</v>
      </c>
      <c r="L422" t="str">
        <f>IF(Table1[[#This Row],[Age]]&lt;25,"Under 25",IF(Table1[[#This Row],[Age]]&lt;35,"25-34",IF(Table1[[#This Row],[Age]]&lt;45,"35-44",IF(Table1[[#This Row],[Age]]&lt;55,"45-54","55+"))))</f>
        <v>55+</v>
      </c>
    </row>
    <row r="423" spans="1:12" x14ac:dyDescent="0.3">
      <c r="A423" s="8" t="s">
        <v>446</v>
      </c>
      <c r="B423" s="6">
        <v>56</v>
      </c>
      <c r="C423" s="8" t="s">
        <v>17</v>
      </c>
      <c r="D423" s="6">
        <v>46</v>
      </c>
      <c r="E423" s="2">
        <v>3457.25</v>
      </c>
      <c r="F423" s="2">
        <v>160208.28</v>
      </c>
      <c r="G423" s="8" t="s">
        <v>13</v>
      </c>
      <c r="H423" t="s">
        <v>21</v>
      </c>
      <c r="I423">
        <v>0</v>
      </c>
      <c r="J423" t="s">
        <v>22</v>
      </c>
      <c r="K423" s="8" t="s">
        <v>15</v>
      </c>
      <c r="L423" t="str">
        <f>IF(Table1[[#This Row],[Age]]&lt;25,"Under 25",IF(Table1[[#This Row],[Age]]&lt;35,"25-34",IF(Table1[[#This Row],[Age]]&lt;45,"35-44",IF(Table1[[#This Row],[Age]]&lt;55,"45-54","55+"))))</f>
        <v>55+</v>
      </c>
    </row>
    <row r="424" spans="1:12" x14ac:dyDescent="0.3">
      <c r="A424" s="8" t="s">
        <v>447</v>
      </c>
      <c r="B424" s="6">
        <v>58</v>
      </c>
      <c r="C424" s="8" t="s">
        <v>17</v>
      </c>
      <c r="D424" s="6">
        <v>36</v>
      </c>
      <c r="E424" s="2">
        <v>2848.93</v>
      </c>
      <c r="F424" s="2">
        <v>103106.53</v>
      </c>
      <c r="G424" s="8" t="s">
        <v>13</v>
      </c>
      <c r="H424" t="s">
        <v>21</v>
      </c>
      <c r="I424">
        <v>7</v>
      </c>
      <c r="J424" t="s">
        <v>18</v>
      </c>
      <c r="K424" s="8" t="s">
        <v>15</v>
      </c>
      <c r="L424" t="str">
        <f>IF(Table1[[#This Row],[Age]]&lt;25,"Under 25",IF(Table1[[#This Row],[Age]]&lt;35,"25-34",IF(Table1[[#This Row],[Age]]&lt;45,"35-44",IF(Table1[[#This Row],[Age]]&lt;55,"45-54","55+"))))</f>
        <v>55+</v>
      </c>
    </row>
    <row r="425" spans="1:12" x14ac:dyDescent="0.3">
      <c r="A425" s="8" t="s">
        <v>448</v>
      </c>
      <c r="B425" s="6">
        <v>65</v>
      </c>
      <c r="C425" s="8" t="s">
        <v>17</v>
      </c>
      <c r="D425" s="6">
        <v>7</v>
      </c>
      <c r="E425" s="2">
        <v>1644.3</v>
      </c>
      <c r="F425" s="2">
        <v>10697.35</v>
      </c>
      <c r="G425" s="8" t="s">
        <v>13</v>
      </c>
      <c r="H425" t="s">
        <v>46</v>
      </c>
      <c r="I425">
        <v>3</v>
      </c>
      <c r="J425" t="s">
        <v>22</v>
      </c>
      <c r="K425" s="8" t="s">
        <v>15</v>
      </c>
      <c r="L425" t="str">
        <f>IF(Table1[[#This Row],[Age]]&lt;25,"Under 25",IF(Table1[[#This Row],[Age]]&lt;35,"25-34",IF(Table1[[#This Row],[Age]]&lt;45,"35-44",IF(Table1[[#This Row],[Age]]&lt;55,"45-54","55+"))))</f>
        <v>55+</v>
      </c>
    </row>
    <row r="426" spans="1:12" x14ac:dyDescent="0.3">
      <c r="A426" s="8" t="s">
        <v>449</v>
      </c>
      <c r="B426" s="6">
        <v>30</v>
      </c>
      <c r="C426" s="8" t="s">
        <v>17</v>
      </c>
      <c r="D426" s="6">
        <v>7</v>
      </c>
      <c r="E426" s="2">
        <v>3907.17</v>
      </c>
      <c r="F426" s="2">
        <v>24805.94</v>
      </c>
      <c r="G426" s="8" t="s">
        <v>35</v>
      </c>
      <c r="H426" t="s">
        <v>25</v>
      </c>
      <c r="I426">
        <v>1</v>
      </c>
      <c r="J426" t="s">
        <v>22</v>
      </c>
      <c r="K426" s="8" t="s">
        <v>15</v>
      </c>
      <c r="L426" t="str">
        <f>IF(Table1[[#This Row],[Age]]&lt;25,"Under 25",IF(Table1[[#This Row],[Age]]&lt;35,"25-34",IF(Table1[[#This Row],[Age]]&lt;45,"35-44",IF(Table1[[#This Row],[Age]]&lt;55,"45-54","55+"))))</f>
        <v>25-34</v>
      </c>
    </row>
    <row r="427" spans="1:12" x14ac:dyDescent="0.3">
      <c r="A427" s="8" t="s">
        <v>450</v>
      </c>
      <c r="B427" s="6">
        <v>55</v>
      </c>
      <c r="C427" s="8" t="s">
        <v>12</v>
      </c>
      <c r="D427" s="6">
        <v>32</v>
      </c>
      <c r="E427" s="2">
        <v>519.52</v>
      </c>
      <c r="F427" s="2">
        <v>16798.07</v>
      </c>
      <c r="G427" s="8" t="s">
        <v>35</v>
      </c>
      <c r="H427" t="s">
        <v>46</v>
      </c>
      <c r="I427">
        <v>9</v>
      </c>
      <c r="J427" t="s">
        <v>22</v>
      </c>
      <c r="K427" s="8" t="s">
        <v>15</v>
      </c>
      <c r="L427" t="str">
        <f>IF(Table1[[#This Row],[Age]]&lt;25,"Under 25",IF(Table1[[#This Row],[Age]]&lt;35,"25-34",IF(Table1[[#This Row],[Age]]&lt;45,"35-44",IF(Table1[[#This Row],[Age]]&lt;55,"45-54","55+"))))</f>
        <v>55+</v>
      </c>
    </row>
    <row r="428" spans="1:12" x14ac:dyDescent="0.3">
      <c r="A428" s="8" t="s">
        <v>451</v>
      </c>
      <c r="B428" s="6">
        <v>29</v>
      </c>
      <c r="C428" s="8" t="s">
        <v>12</v>
      </c>
      <c r="D428" s="6">
        <v>47</v>
      </c>
      <c r="E428" s="2">
        <v>4168.6000000000004</v>
      </c>
      <c r="F428" s="2">
        <v>179375.09</v>
      </c>
      <c r="G428" s="8" t="s">
        <v>35</v>
      </c>
      <c r="H428" t="s">
        <v>25</v>
      </c>
      <c r="I428">
        <v>5</v>
      </c>
      <c r="J428" t="s">
        <v>15</v>
      </c>
      <c r="K428" s="8" t="s">
        <v>15</v>
      </c>
      <c r="L428" t="str">
        <f>IF(Table1[[#This Row],[Age]]&lt;25,"Under 25",IF(Table1[[#This Row],[Age]]&lt;35,"25-34",IF(Table1[[#This Row],[Age]]&lt;45,"35-44",IF(Table1[[#This Row],[Age]]&lt;55,"45-54","55+"))))</f>
        <v>25-34</v>
      </c>
    </row>
    <row r="429" spans="1:12" x14ac:dyDescent="0.3">
      <c r="A429" s="8" t="s">
        <v>452</v>
      </c>
      <c r="B429" s="6">
        <v>44</v>
      </c>
      <c r="C429" s="8" t="s">
        <v>12</v>
      </c>
      <c r="D429" s="6">
        <v>18</v>
      </c>
      <c r="E429" s="2">
        <v>2290.41</v>
      </c>
      <c r="F429" s="2">
        <v>39224.92</v>
      </c>
      <c r="G429" s="8" t="s">
        <v>13</v>
      </c>
      <c r="H429" t="s">
        <v>21</v>
      </c>
      <c r="I429">
        <v>2</v>
      </c>
      <c r="J429" t="s">
        <v>22</v>
      </c>
      <c r="K429" s="8" t="s">
        <v>15</v>
      </c>
      <c r="L429" t="str">
        <f>IF(Table1[[#This Row],[Age]]&lt;25,"Under 25",IF(Table1[[#This Row],[Age]]&lt;35,"25-34",IF(Table1[[#This Row],[Age]]&lt;45,"35-44",IF(Table1[[#This Row],[Age]]&lt;55,"45-54","55+"))))</f>
        <v>35-44</v>
      </c>
    </row>
    <row r="430" spans="1:12" x14ac:dyDescent="0.3">
      <c r="A430" s="8" t="s">
        <v>453</v>
      </c>
      <c r="B430" s="6">
        <v>65</v>
      </c>
      <c r="C430" s="8" t="s">
        <v>17</v>
      </c>
      <c r="D430" s="6">
        <v>54</v>
      </c>
      <c r="E430" s="2">
        <v>3656.72</v>
      </c>
      <c r="F430" s="2">
        <v>203210.26</v>
      </c>
      <c r="G430" s="8" t="s">
        <v>35</v>
      </c>
      <c r="H430" t="s">
        <v>25</v>
      </c>
      <c r="I430">
        <v>10</v>
      </c>
      <c r="J430" t="s">
        <v>18</v>
      </c>
      <c r="K430" s="8" t="s">
        <v>23</v>
      </c>
      <c r="L430" t="str">
        <f>IF(Table1[[#This Row],[Age]]&lt;25,"Under 25",IF(Table1[[#This Row],[Age]]&lt;35,"25-34",IF(Table1[[#This Row],[Age]]&lt;45,"35-44",IF(Table1[[#This Row],[Age]]&lt;55,"45-54","55+"))))</f>
        <v>55+</v>
      </c>
    </row>
    <row r="431" spans="1:12" x14ac:dyDescent="0.3">
      <c r="A431" s="8" t="s">
        <v>454</v>
      </c>
      <c r="B431" s="6">
        <v>57</v>
      </c>
      <c r="C431" s="8" t="s">
        <v>17</v>
      </c>
      <c r="D431" s="6">
        <v>44</v>
      </c>
      <c r="E431" s="2">
        <v>2053.8200000000002</v>
      </c>
      <c r="F431" s="2">
        <v>90445.440000000002</v>
      </c>
      <c r="G431" s="8" t="s">
        <v>20</v>
      </c>
      <c r="H431" t="s">
        <v>21</v>
      </c>
      <c r="I431">
        <v>8</v>
      </c>
      <c r="J431" t="s">
        <v>15</v>
      </c>
      <c r="K431" s="8" t="s">
        <v>15</v>
      </c>
      <c r="L431" t="str">
        <f>IF(Table1[[#This Row],[Age]]&lt;25,"Under 25",IF(Table1[[#This Row],[Age]]&lt;35,"25-34",IF(Table1[[#This Row],[Age]]&lt;45,"35-44",IF(Table1[[#This Row],[Age]]&lt;55,"45-54","55+"))))</f>
        <v>55+</v>
      </c>
    </row>
    <row r="432" spans="1:12" x14ac:dyDescent="0.3">
      <c r="A432" s="8" t="s">
        <v>455</v>
      </c>
      <c r="B432" s="6">
        <v>38</v>
      </c>
      <c r="C432" s="8" t="s">
        <v>12</v>
      </c>
      <c r="D432" s="6">
        <v>49</v>
      </c>
      <c r="E432" s="2">
        <v>2085.0700000000002</v>
      </c>
      <c r="F432" s="2">
        <v>99313.38</v>
      </c>
      <c r="G432" s="8" t="s">
        <v>35</v>
      </c>
      <c r="H432" t="s">
        <v>46</v>
      </c>
      <c r="I432">
        <v>10</v>
      </c>
      <c r="J432" t="s">
        <v>15</v>
      </c>
      <c r="K432" s="8" t="s">
        <v>15</v>
      </c>
      <c r="L432" t="str">
        <f>IF(Table1[[#This Row],[Age]]&lt;25,"Under 25",IF(Table1[[#This Row],[Age]]&lt;35,"25-34",IF(Table1[[#This Row],[Age]]&lt;45,"35-44",IF(Table1[[#This Row],[Age]]&lt;55,"45-54","55+"))))</f>
        <v>35-44</v>
      </c>
    </row>
    <row r="433" spans="1:12" x14ac:dyDescent="0.3">
      <c r="A433" s="8" t="s">
        <v>456</v>
      </c>
      <c r="B433" s="6">
        <v>52</v>
      </c>
      <c r="C433" s="8" t="s">
        <v>17</v>
      </c>
      <c r="D433" s="6">
        <v>57</v>
      </c>
      <c r="E433" s="2">
        <v>4312.8500000000004</v>
      </c>
      <c r="F433" s="2">
        <v>251055.34</v>
      </c>
      <c r="G433" s="8" t="s">
        <v>13</v>
      </c>
      <c r="H433" t="s">
        <v>14</v>
      </c>
      <c r="I433">
        <v>6</v>
      </c>
      <c r="J433" t="s">
        <v>18</v>
      </c>
      <c r="K433" s="8" t="s">
        <v>23</v>
      </c>
      <c r="L433" t="str">
        <f>IF(Table1[[#This Row],[Age]]&lt;25,"Under 25",IF(Table1[[#This Row],[Age]]&lt;35,"25-34",IF(Table1[[#This Row],[Age]]&lt;45,"35-44",IF(Table1[[#This Row],[Age]]&lt;55,"45-54","55+"))))</f>
        <v>45-54</v>
      </c>
    </row>
    <row r="434" spans="1:12" x14ac:dyDescent="0.3">
      <c r="A434" s="8" t="s">
        <v>457</v>
      </c>
      <c r="B434" s="6">
        <v>21</v>
      </c>
      <c r="C434" s="8" t="s">
        <v>12</v>
      </c>
      <c r="D434" s="6">
        <v>18</v>
      </c>
      <c r="E434" s="2">
        <v>3875.83</v>
      </c>
      <c r="F434" s="2">
        <v>64472.59</v>
      </c>
      <c r="G434" s="8" t="s">
        <v>13</v>
      </c>
      <c r="H434" t="s">
        <v>37</v>
      </c>
      <c r="I434">
        <v>2</v>
      </c>
      <c r="J434" t="s">
        <v>18</v>
      </c>
      <c r="K434" s="8" t="s">
        <v>15</v>
      </c>
      <c r="L434" t="str">
        <f>IF(Table1[[#This Row],[Age]]&lt;25,"Under 25",IF(Table1[[#This Row],[Age]]&lt;35,"25-34",IF(Table1[[#This Row],[Age]]&lt;45,"35-44",IF(Table1[[#This Row],[Age]]&lt;55,"45-54","55+"))))</f>
        <v>Under 25</v>
      </c>
    </row>
    <row r="435" spans="1:12" x14ac:dyDescent="0.3">
      <c r="A435" s="8" t="s">
        <v>458</v>
      </c>
      <c r="B435" s="6">
        <v>36</v>
      </c>
      <c r="C435" s="8" t="s">
        <v>12</v>
      </c>
      <c r="D435" s="6">
        <v>49</v>
      </c>
      <c r="E435" s="2">
        <v>2935.27</v>
      </c>
      <c r="F435" s="2">
        <v>137183.71</v>
      </c>
      <c r="G435" s="8" t="s">
        <v>13</v>
      </c>
      <c r="H435" t="s">
        <v>25</v>
      </c>
      <c r="I435">
        <v>10</v>
      </c>
      <c r="J435" t="s">
        <v>15</v>
      </c>
      <c r="K435" s="8" t="s">
        <v>15</v>
      </c>
      <c r="L435" t="str">
        <f>IF(Table1[[#This Row],[Age]]&lt;25,"Under 25",IF(Table1[[#This Row],[Age]]&lt;35,"25-34",IF(Table1[[#This Row],[Age]]&lt;45,"35-44",IF(Table1[[#This Row],[Age]]&lt;55,"45-54","55+"))))</f>
        <v>35-44</v>
      </c>
    </row>
    <row r="436" spans="1:12" x14ac:dyDescent="0.3">
      <c r="A436" s="8" t="s">
        <v>459</v>
      </c>
      <c r="B436" s="6">
        <v>32</v>
      </c>
      <c r="C436" s="8" t="s">
        <v>17</v>
      </c>
      <c r="D436" s="6">
        <v>16</v>
      </c>
      <c r="E436" s="2">
        <v>2799.15</v>
      </c>
      <c r="F436" s="2">
        <v>45660.86</v>
      </c>
      <c r="G436" s="8" t="s">
        <v>35</v>
      </c>
      <c r="H436" t="s">
        <v>14</v>
      </c>
      <c r="I436">
        <v>6</v>
      </c>
      <c r="J436" t="s">
        <v>22</v>
      </c>
      <c r="K436" s="8" t="s">
        <v>15</v>
      </c>
      <c r="L436" t="str">
        <f>IF(Table1[[#This Row],[Age]]&lt;25,"Under 25",IF(Table1[[#This Row],[Age]]&lt;35,"25-34",IF(Table1[[#This Row],[Age]]&lt;45,"35-44",IF(Table1[[#This Row],[Age]]&lt;55,"45-54","55+"))))</f>
        <v>25-34</v>
      </c>
    </row>
    <row r="437" spans="1:12" x14ac:dyDescent="0.3">
      <c r="A437" s="8" t="s">
        <v>460</v>
      </c>
      <c r="B437" s="6">
        <v>61</v>
      </c>
      <c r="C437" s="8" t="s">
        <v>17</v>
      </c>
      <c r="D437" s="6">
        <v>36</v>
      </c>
      <c r="E437" s="2">
        <v>742.11</v>
      </c>
      <c r="F437" s="2">
        <v>27024.54</v>
      </c>
      <c r="G437" s="8" t="s">
        <v>13</v>
      </c>
      <c r="H437" t="s">
        <v>46</v>
      </c>
      <c r="I437">
        <v>3</v>
      </c>
      <c r="J437" t="s">
        <v>15</v>
      </c>
      <c r="K437" s="8" t="s">
        <v>15</v>
      </c>
      <c r="L437" t="str">
        <f>IF(Table1[[#This Row],[Age]]&lt;25,"Under 25",IF(Table1[[#This Row],[Age]]&lt;35,"25-34",IF(Table1[[#This Row],[Age]]&lt;45,"35-44",IF(Table1[[#This Row],[Age]]&lt;55,"45-54","55+"))))</f>
        <v>55+</v>
      </c>
    </row>
    <row r="438" spans="1:12" x14ac:dyDescent="0.3">
      <c r="A438" s="8" t="s">
        <v>461</v>
      </c>
      <c r="B438" s="6">
        <v>59</v>
      </c>
      <c r="C438" s="8" t="s">
        <v>17</v>
      </c>
      <c r="D438" s="6">
        <v>49</v>
      </c>
      <c r="E438" s="2">
        <v>3147.73</v>
      </c>
      <c r="F438" s="2">
        <v>155899.54</v>
      </c>
      <c r="G438" s="8" t="s">
        <v>13</v>
      </c>
      <c r="H438" t="s">
        <v>21</v>
      </c>
      <c r="I438">
        <v>4</v>
      </c>
      <c r="J438" t="s">
        <v>22</v>
      </c>
      <c r="K438" s="8" t="s">
        <v>23</v>
      </c>
      <c r="L438" t="str">
        <f>IF(Table1[[#This Row],[Age]]&lt;25,"Under 25",IF(Table1[[#This Row],[Age]]&lt;35,"25-34",IF(Table1[[#This Row],[Age]]&lt;45,"35-44",IF(Table1[[#This Row],[Age]]&lt;55,"45-54","55+"))))</f>
        <v>55+</v>
      </c>
    </row>
    <row r="439" spans="1:12" x14ac:dyDescent="0.3">
      <c r="A439" s="8" t="s">
        <v>462</v>
      </c>
      <c r="B439" s="6">
        <v>61</v>
      </c>
      <c r="C439" s="8" t="s">
        <v>12</v>
      </c>
      <c r="D439" s="6">
        <v>12</v>
      </c>
      <c r="E439" s="2">
        <v>4831.1400000000003</v>
      </c>
      <c r="F439" s="2">
        <v>58568.6</v>
      </c>
      <c r="G439" s="8" t="s">
        <v>13</v>
      </c>
      <c r="H439" t="s">
        <v>14</v>
      </c>
      <c r="I439">
        <v>6</v>
      </c>
      <c r="J439" t="s">
        <v>22</v>
      </c>
      <c r="K439" s="8" t="s">
        <v>23</v>
      </c>
      <c r="L439" t="str">
        <f>IF(Table1[[#This Row],[Age]]&lt;25,"Under 25",IF(Table1[[#This Row],[Age]]&lt;35,"25-34",IF(Table1[[#This Row],[Age]]&lt;45,"35-44",IF(Table1[[#This Row],[Age]]&lt;55,"45-54","55+"))))</f>
        <v>55+</v>
      </c>
    </row>
    <row r="440" spans="1:12" x14ac:dyDescent="0.3">
      <c r="A440" s="8" t="s">
        <v>463</v>
      </c>
      <c r="B440" s="6">
        <v>26</v>
      </c>
      <c r="C440" s="8" t="s">
        <v>12</v>
      </c>
      <c r="D440" s="6">
        <v>38</v>
      </c>
      <c r="E440" s="2">
        <v>4307.0600000000004</v>
      </c>
      <c r="F440" s="2">
        <v>147440.04</v>
      </c>
      <c r="G440" s="8" t="s">
        <v>13</v>
      </c>
      <c r="H440" t="s">
        <v>21</v>
      </c>
      <c r="I440">
        <v>0</v>
      </c>
      <c r="J440" t="s">
        <v>18</v>
      </c>
      <c r="K440" s="8" t="s">
        <v>15</v>
      </c>
      <c r="L440" t="str">
        <f>IF(Table1[[#This Row],[Age]]&lt;25,"Under 25",IF(Table1[[#This Row],[Age]]&lt;35,"25-34",IF(Table1[[#This Row],[Age]]&lt;45,"35-44",IF(Table1[[#This Row],[Age]]&lt;55,"45-54","55+"))))</f>
        <v>25-34</v>
      </c>
    </row>
    <row r="441" spans="1:12" x14ac:dyDescent="0.3">
      <c r="A441" s="8" t="s">
        <v>464</v>
      </c>
      <c r="B441" s="6">
        <v>56</v>
      </c>
      <c r="C441" s="8" t="s">
        <v>12</v>
      </c>
      <c r="D441" s="6">
        <v>50</v>
      </c>
      <c r="E441" s="2">
        <v>4695.72</v>
      </c>
      <c r="F441" s="2">
        <v>232987.84</v>
      </c>
      <c r="G441" s="8" t="s">
        <v>35</v>
      </c>
      <c r="H441" t="s">
        <v>46</v>
      </c>
      <c r="I441">
        <v>9</v>
      </c>
      <c r="J441" t="s">
        <v>15</v>
      </c>
      <c r="K441" s="8" t="s">
        <v>23</v>
      </c>
      <c r="L441" t="str">
        <f>IF(Table1[[#This Row],[Age]]&lt;25,"Under 25",IF(Table1[[#This Row],[Age]]&lt;35,"25-34",IF(Table1[[#This Row],[Age]]&lt;45,"35-44",IF(Table1[[#This Row],[Age]]&lt;55,"45-54","55+"))))</f>
        <v>55+</v>
      </c>
    </row>
    <row r="442" spans="1:12" x14ac:dyDescent="0.3">
      <c r="A442" s="8" t="s">
        <v>465</v>
      </c>
      <c r="B442" s="6">
        <v>63</v>
      </c>
      <c r="C442" s="8" t="s">
        <v>17</v>
      </c>
      <c r="D442" s="6">
        <v>34</v>
      </c>
      <c r="E442" s="2">
        <v>1489.83</v>
      </c>
      <c r="F442" s="2">
        <v>46985.86</v>
      </c>
      <c r="G442" s="8" t="s">
        <v>13</v>
      </c>
      <c r="H442" t="s">
        <v>25</v>
      </c>
      <c r="I442">
        <v>2</v>
      </c>
      <c r="J442" t="s">
        <v>22</v>
      </c>
      <c r="K442" s="8" t="s">
        <v>15</v>
      </c>
      <c r="L442" t="str">
        <f>IF(Table1[[#This Row],[Age]]&lt;25,"Under 25",IF(Table1[[#This Row],[Age]]&lt;35,"25-34",IF(Table1[[#This Row],[Age]]&lt;45,"35-44",IF(Table1[[#This Row],[Age]]&lt;55,"45-54","55+"))))</f>
        <v>55+</v>
      </c>
    </row>
    <row r="443" spans="1:12" x14ac:dyDescent="0.3">
      <c r="A443" s="8" t="s">
        <v>466</v>
      </c>
      <c r="B443" s="6">
        <v>43</v>
      </c>
      <c r="C443" s="8" t="s">
        <v>12</v>
      </c>
      <c r="D443" s="6">
        <v>23</v>
      </c>
      <c r="E443" s="2">
        <v>1495.39</v>
      </c>
      <c r="F443" s="2">
        <v>32055.29</v>
      </c>
      <c r="G443" s="8" t="s">
        <v>13</v>
      </c>
      <c r="H443" t="s">
        <v>37</v>
      </c>
      <c r="I443">
        <v>4</v>
      </c>
      <c r="J443" t="s">
        <v>18</v>
      </c>
      <c r="K443" s="8" t="s">
        <v>15</v>
      </c>
      <c r="L443" t="str">
        <f>IF(Table1[[#This Row],[Age]]&lt;25,"Under 25",IF(Table1[[#This Row],[Age]]&lt;35,"25-34",IF(Table1[[#This Row],[Age]]&lt;45,"35-44",IF(Table1[[#This Row],[Age]]&lt;55,"45-54","55+"))))</f>
        <v>35-44</v>
      </c>
    </row>
    <row r="444" spans="1:12" x14ac:dyDescent="0.3">
      <c r="A444" s="8" t="s">
        <v>467</v>
      </c>
      <c r="B444" s="6">
        <v>57</v>
      </c>
      <c r="C444" s="8" t="s">
        <v>17</v>
      </c>
      <c r="D444" s="6">
        <v>36</v>
      </c>
      <c r="E444" s="2">
        <v>4206.6000000000004</v>
      </c>
      <c r="F444" s="2">
        <v>158580.91</v>
      </c>
      <c r="G444" s="8" t="s">
        <v>13</v>
      </c>
      <c r="H444" t="s">
        <v>37</v>
      </c>
      <c r="I444">
        <v>7</v>
      </c>
      <c r="J444" t="s">
        <v>18</v>
      </c>
      <c r="K444" s="8" t="s">
        <v>15</v>
      </c>
      <c r="L444" t="str">
        <f>IF(Table1[[#This Row],[Age]]&lt;25,"Under 25",IF(Table1[[#This Row],[Age]]&lt;35,"25-34",IF(Table1[[#This Row],[Age]]&lt;45,"35-44",IF(Table1[[#This Row],[Age]]&lt;55,"45-54","55+"))))</f>
        <v>55+</v>
      </c>
    </row>
    <row r="445" spans="1:12" x14ac:dyDescent="0.3">
      <c r="A445" s="8" t="s">
        <v>468</v>
      </c>
      <c r="B445" s="6">
        <v>57</v>
      </c>
      <c r="C445" s="8" t="s">
        <v>12</v>
      </c>
      <c r="D445" s="6">
        <v>3</v>
      </c>
      <c r="E445" s="2">
        <v>3571.48</v>
      </c>
      <c r="F445" s="2">
        <v>10158.799999999999</v>
      </c>
      <c r="G445" s="8" t="s">
        <v>20</v>
      </c>
      <c r="H445" t="s">
        <v>14</v>
      </c>
      <c r="I445">
        <v>6</v>
      </c>
      <c r="J445" t="s">
        <v>22</v>
      </c>
      <c r="K445" s="8" t="s">
        <v>15</v>
      </c>
      <c r="L445" t="str">
        <f>IF(Table1[[#This Row],[Age]]&lt;25,"Under 25",IF(Table1[[#This Row],[Age]]&lt;35,"25-34",IF(Table1[[#This Row],[Age]]&lt;45,"35-44",IF(Table1[[#This Row],[Age]]&lt;55,"45-54","55+"))))</f>
        <v>55+</v>
      </c>
    </row>
    <row r="446" spans="1:12" x14ac:dyDescent="0.3">
      <c r="A446" s="8" t="s">
        <v>469</v>
      </c>
      <c r="B446" s="6">
        <v>36</v>
      </c>
      <c r="C446" s="8" t="s">
        <v>12</v>
      </c>
      <c r="D446" s="6">
        <v>59</v>
      </c>
      <c r="E446" s="2">
        <v>2825.91</v>
      </c>
      <c r="F446" s="2">
        <v>169325.35</v>
      </c>
      <c r="G446" s="8" t="s">
        <v>13</v>
      </c>
      <c r="H446" t="s">
        <v>25</v>
      </c>
      <c r="I446">
        <v>7</v>
      </c>
      <c r="J446" t="s">
        <v>22</v>
      </c>
      <c r="K446" s="8" t="s">
        <v>23</v>
      </c>
      <c r="L446" t="str">
        <f>IF(Table1[[#This Row],[Age]]&lt;25,"Under 25",IF(Table1[[#This Row],[Age]]&lt;35,"25-34",IF(Table1[[#This Row],[Age]]&lt;45,"35-44",IF(Table1[[#This Row],[Age]]&lt;55,"45-54","55+"))))</f>
        <v>35-44</v>
      </c>
    </row>
    <row r="447" spans="1:12" x14ac:dyDescent="0.3">
      <c r="A447" s="8" t="s">
        <v>470</v>
      </c>
      <c r="B447" s="6">
        <v>59</v>
      </c>
      <c r="C447" s="8" t="s">
        <v>12</v>
      </c>
      <c r="D447" s="6">
        <v>21</v>
      </c>
      <c r="E447" s="2">
        <v>2812.53</v>
      </c>
      <c r="F447" s="2">
        <v>61557.47</v>
      </c>
      <c r="G447" s="8" t="s">
        <v>13</v>
      </c>
      <c r="H447" t="s">
        <v>25</v>
      </c>
      <c r="I447">
        <v>8</v>
      </c>
      <c r="J447" t="s">
        <v>18</v>
      </c>
      <c r="K447" s="8" t="s">
        <v>15</v>
      </c>
      <c r="L447" t="str">
        <f>IF(Table1[[#This Row],[Age]]&lt;25,"Under 25",IF(Table1[[#This Row],[Age]]&lt;35,"25-34",IF(Table1[[#This Row],[Age]]&lt;45,"35-44",IF(Table1[[#This Row],[Age]]&lt;55,"45-54","55+"))))</f>
        <v>55+</v>
      </c>
    </row>
    <row r="448" spans="1:12" x14ac:dyDescent="0.3">
      <c r="A448" s="8" t="s">
        <v>471</v>
      </c>
      <c r="B448" s="6">
        <v>31</v>
      </c>
      <c r="C448" s="8" t="s">
        <v>12</v>
      </c>
      <c r="D448" s="6">
        <v>56</v>
      </c>
      <c r="E448" s="2">
        <v>3584.32</v>
      </c>
      <c r="F448" s="2">
        <v>205810.17</v>
      </c>
      <c r="G448" s="8" t="s">
        <v>13</v>
      </c>
      <c r="H448" t="s">
        <v>46</v>
      </c>
      <c r="I448">
        <v>10</v>
      </c>
      <c r="J448" t="s">
        <v>18</v>
      </c>
      <c r="K448" s="8" t="s">
        <v>15</v>
      </c>
      <c r="L448" t="str">
        <f>IF(Table1[[#This Row],[Age]]&lt;25,"Under 25",IF(Table1[[#This Row],[Age]]&lt;35,"25-34",IF(Table1[[#This Row],[Age]]&lt;45,"35-44",IF(Table1[[#This Row],[Age]]&lt;55,"45-54","55+"))))</f>
        <v>25-34</v>
      </c>
    </row>
    <row r="449" spans="1:12" x14ac:dyDescent="0.3">
      <c r="A449" s="8" t="s">
        <v>472</v>
      </c>
      <c r="B449" s="6">
        <v>27</v>
      </c>
      <c r="C449" s="8" t="s">
        <v>12</v>
      </c>
      <c r="D449" s="6">
        <v>30</v>
      </c>
      <c r="E449" s="2">
        <v>3725.91</v>
      </c>
      <c r="F449" s="2">
        <v>101234.79</v>
      </c>
      <c r="G449" s="8" t="s">
        <v>13</v>
      </c>
      <c r="H449" t="s">
        <v>21</v>
      </c>
      <c r="I449">
        <v>4</v>
      </c>
      <c r="J449" t="s">
        <v>15</v>
      </c>
      <c r="K449" s="8" t="s">
        <v>23</v>
      </c>
      <c r="L449" t="str">
        <f>IF(Table1[[#This Row],[Age]]&lt;25,"Under 25",IF(Table1[[#This Row],[Age]]&lt;35,"25-34",IF(Table1[[#This Row],[Age]]&lt;45,"35-44",IF(Table1[[#This Row],[Age]]&lt;55,"45-54","55+"))))</f>
        <v>25-34</v>
      </c>
    </row>
    <row r="450" spans="1:12" x14ac:dyDescent="0.3">
      <c r="A450" s="8" t="s">
        <v>473</v>
      </c>
      <c r="B450" s="6">
        <v>32</v>
      </c>
      <c r="C450" s="8" t="s">
        <v>17</v>
      </c>
      <c r="D450" s="6">
        <v>27</v>
      </c>
      <c r="E450" s="2">
        <v>2246.15</v>
      </c>
      <c r="F450" s="2">
        <v>60314.47</v>
      </c>
      <c r="G450" s="8" t="s">
        <v>13</v>
      </c>
      <c r="H450" t="s">
        <v>14</v>
      </c>
      <c r="I450">
        <v>6</v>
      </c>
      <c r="J450" t="s">
        <v>15</v>
      </c>
      <c r="K450" s="8" t="s">
        <v>23</v>
      </c>
      <c r="L450" t="str">
        <f>IF(Table1[[#This Row],[Age]]&lt;25,"Under 25",IF(Table1[[#This Row],[Age]]&lt;35,"25-34",IF(Table1[[#This Row],[Age]]&lt;45,"35-44",IF(Table1[[#This Row],[Age]]&lt;55,"45-54","55+"))))</f>
        <v>25-34</v>
      </c>
    </row>
    <row r="451" spans="1:12" x14ac:dyDescent="0.3">
      <c r="A451" s="8" t="s">
        <v>474</v>
      </c>
      <c r="B451" s="6">
        <v>18</v>
      </c>
      <c r="C451" s="8" t="s">
        <v>12</v>
      </c>
      <c r="D451" s="6">
        <v>49</v>
      </c>
      <c r="E451" s="2">
        <v>3856.78</v>
      </c>
      <c r="F451" s="2">
        <v>171374.28</v>
      </c>
      <c r="G451" s="8" t="s">
        <v>20</v>
      </c>
      <c r="H451" t="s">
        <v>37</v>
      </c>
      <c r="I451">
        <v>8</v>
      </c>
      <c r="J451" t="s">
        <v>18</v>
      </c>
      <c r="K451" s="8" t="s">
        <v>23</v>
      </c>
      <c r="L451" t="str">
        <f>IF(Table1[[#This Row],[Age]]&lt;25,"Under 25",IF(Table1[[#This Row],[Age]]&lt;35,"25-34",IF(Table1[[#This Row],[Age]]&lt;45,"35-44",IF(Table1[[#This Row],[Age]]&lt;55,"45-54","55+"))))</f>
        <v>Under 25</v>
      </c>
    </row>
    <row r="452" spans="1:12" x14ac:dyDescent="0.3">
      <c r="A452" s="8" t="s">
        <v>475</v>
      </c>
      <c r="B452" s="6">
        <v>61</v>
      </c>
      <c r="C452" s="8" t="s">
        <v>17</v>
      </c>
      <c r="D452" s="6">
        <v>39</v>
      </c>
      <c r="E452" s="2">
        <v>889.27</v>
      </c>
      <c r="F452" s="2">
        <v>35194.51</v>
      </c>
      <c r="G452" s="8" t="s">
        <v>13</v>
      </c>
      <c r="H452" t="s">
        <v>46</v>
      </c>
      <c r="I452">
        <v>10</v>
      </c>
      <c r="J452" t="s">
        <v>18</v>
      </c>
      <c r="K452" s="8" t="s">
        <v>23</v>
      </c>
      <c r="L452" t="str">
        <f>IF(Table1[[#This Row],[Age]]&lt;25,"Under 25",IF(Table1[[#This Row],[Age]]&lt;35,"25-34",IF(Table1[[#This Row],[Age]]&lt;45,"35-44",IF(Table1[[#This Row],[Age]]&lt;55,"45-54","55+"))))</f>
        <v>55+</v>
      </c>
    </row>
    <row r="453" spans="1:12" x14ac:dyDescent="0.3">
      <c r="A453" s="8" t="s">
        <v>476</v>
      </c>
      <c r="B453" s="6">
        <v>52</v>
      </c>
      <c r="C453" s="8" t="s">
        <v>12</v>
      </c>
      <c r="D453" s="6">
        <v>9</v>
      </c>
      <c r="E453" s="2">
        <v>3860.39</v>
      </c>
      <c r="F453" s="2">
        <v>35421.550000000003</v>
      </c>
      <c r="G453" s="8" t="s">
        <v>20</v>
      </c>
      <c r="H453" t="s">
        <v>37</v>
      </c>
      <c r="I453">
        <v>10</v>
      </c>
      <c r="J453" t="s">
        <v>18</v>
      </c>
      <c r="K453" s="8" t="s">
        <v>23</v>
      </c>
      <c r="L453" t="str">
        <f>IF(Table1[[#This Row],[Age]]&lt;25,"Under 25",IF(Table1[[#This Row],[Age]]&lt;35,"25-34",IF(Table1[[#This Row],[Age]]&lt;45,"35-44",IF(Table1[[#This Row],[Age]]&lt;55,"45-54","55+"))))</f>
        <v>45-54</v>
      </c>
    </row>
    <row r="454" spans="1:12" x14ac:dyDescent="0.3">
      <c r="A454" s="8" t="s">
        <v>477</v>
      </c>
      <c r="B454" s="6">
        <v>64</v>
      </c>
      <c r="C454" s="8" t="s">
        <v>17</v>
      </c>
      <c r="D454" s="6">
        <v>1</v>
      </c>
      <c r="E454" s="2">
        <v>2990.86</v>
      </c>
      <c r="F454" s="2">
        <v>2940.79</v>
      </c>
      <c r="G454" s="8" t="s">
        <v>13</v>
      </c>
      <c r="H454" t="s">
        <v>14</v>
      </c>
      <c r="I454">
        <v>9</v>
      </c>
      <c r="J454" t="s">
        <v>15</v>
      </c>
      <c r="K454" s="8" t="s">
        <v>23</v>
      </c>
      <c r="L454" t="str">
        <f>IF(Table1[[#This Row],[Age]]&lt;25,"Under 25",IF(Table1[[#This Row],[Age]]&lt;35,"25-34",IF(Table1[[#This Row],[Age]]&lt;45,"35-44",IF(Table1[[#This Row],[Age]]&lt;55,"45-54","55+"))))</f>
        <v>55+</v>
      </c>
    </row>
    <row r="455" spans="1:12" x14ac:dyDescent="0.3">
      <c r="A455" s="8" t="s">
        <v>478</v>
      </c>
      <c r="B455" s="6">
        <v>53</v>
      </c>
      <c r="C455" s="8" t="s">
        <v>12</v>
      </c>
      <c r="D455" s="6">
        <v>20</v>
      </c>
      <c r="E455" s="2">
        <v>1445.24</v>
      </c>
      <c r="F455" s="2">
        <v>29228.95</v>
      </c>
      <c r="G455" s="8" t="s">
        <v>35</v>
      </c>
      <c r="H455" t="s">
        <v>21</v>
      </c>
      <c r="I455">
        <v>6</v>
      </c>
      <c r="J455" t="s">
        <v>15</v>
      </c>
      <c r="K455" s="8" t="s">
        <v>15</v>
      </c>
      <c r="L455" t="str">
        <f>IF(Table1[[#This Row],[Age]]&lt;25,"Under 25",IF(Table1[[#This Row],[Age]]&lt;35,"25-34",IF(Table1[[#This Row],[Age]]&lt;45,"35-44",IF(Table1[[#This Row],[Age]]&lt;55,"45-54","55+"))))</f>
        <v>45-54</v>
      </c>
    </row>
    <row r="456" spans="1:12" x14ac:dyDescent="0.3">
      <c r="A456" s="8" t="s">
        <v>479</v>
      </c>
      <c r="B456" s="6">
        <v>27</v>
      </c>
      <c r="C456" s="8" t="s">
        <v>12</v>
      </c>
      <c r="D456" s="6">
        <v>12</v>
      </c>
      <c r="E456" s="2">
        <v>1493.55</v>
      </c>
      <c r="F456" s="2">
        <v>18374.47</v>
      </c>
      <c r="G456" s="8" t="s">
        <v>13</v>
      </c>
      <c r="H456" t="s">
        <v>21</v>
      </c>
      <c r="I456">
        <v>10</v>
      </c>
      <c r="J456" t="s">
        <v>15</v>
      </c>
      <c r="K456" s="8" t="s">
        <v>15</v>
      </c>
      <c r="L456" t="str">
        <f>IF(Table1[[#This Row],[Age]]&lt;25,"Under 25",IF(Table1[[#This Row],[Age]]&lt;35,"25-34",IF(Table1[[#This Row],[Age]]&lt;45,"35-44",IF(Table1[[#This Row],[Age]]&lt;55,"45-54","55+"))))</f>
        <v>25-34</v>
      </c>
    </row>
    <row r="457" spans="1:12" x14ac:dyDescent="0.3">
      <c r="A457" s="8" t="s">
        <v>480</v>
      </c>
      <c r="B457" s="6">
        <v>53</v>
      </c>
      <c r="C457" s="8" t="s">
        <v>17</v>
      </c>
      <c r="D457" s="6">
        <v>42</v>
      </c>
      <c r="E457" s="2">
        <v>2973.49</v>
      </c>
      <c r="F457" s="2">
        <v>117842.71</v>
      </c>
      <c r="G457" s="8" t="s">
        <v>13</v>
      </c>
      <c r="H457" t="s">
        <v>14</v>
      </c>
      <c r="I457">
        <v>3</v>
      </c>
      <c r="J457" t="s">
        <v>15</v>
      </c>
      <c r="K457" s="8" t="s">
        <v>15</v>
      </c>
      <c r="L457" t="str">
        <f>IF(Table1[[#This Row],[Age]]&lt;25,"Under 25",IF(Table1[[#This Row],[Age]]&lt;35,"25-34",IF(Table1[[#This Row],[Age]]&lt;45,"35-44",IF(Table1[[#This Row],[Age]]&lt;55,"45-54","55+"))))</f>
        <v>45-54</v>
      </c>
    </row>
    <row r="458" spans="1:12" x14ac:dyDescent="0.3">
      <c r="A458" s="8" t="s">
        <v>481</v>
      </c>
      <c r="B458" s="6">
        <v>39</v>
      </c>
      <c r="C458" s="8" t="s">
        <v>17</v>
      </c>
      <c r="D458" s="6">
        <v>9</v>
      </c>
      <c r="E458" s="2">
        <v>3520.83</v>
      </c>
      <c r="F458" s="2">
        <v>29633.49</v>
      </c>
      <c r="G458" s="8" t="s">
        <v>13</v>
      </c>
      <c r="H458" t="s">
        <v>14</v>
      </c>
      <c r="I458">
        <v>3</v>
      </c>
      <c r="J458" t="s">
        <v>22</v>
      </c>
      <c r="K458" s="8" t="s">
        <v>23</v>
      </c>
      <c r="L458" t="str">
        <f>IF(Table1[[#This Row],[Age]]&lt;25,"Under 25",IF(Table1[[#This Row],[Age]]&lt;35,"25-34",IF(Table1[[#This Row],[Age]]&lt;45,"35-44",IF(Table1[[#This Row],[Age]]&lt;55,"45-54","55+"))))</f>
        <v>35-44</v>
      </c>
    </row>
    <row r="459" spans="1:12" x14ac:dyDescent="0.3">
      <c r="A459" s="8" t="s">
        <v>482</v>
      </c>
      <c r="B459" s="6">
        <v>39</v>
      </c>
      <c r="C459" s="8" t="s">
        <v>17</v>
      </c>
      <c r="D459" s="6">
        <v>45</v>
      </c>
      <c r="E459" s="2">
        <v>3128.76</v>
      </c>
      <c r="F459" s="2">
        <v>138658.75</v>
      </c>
      <c r="G459" s="8" t="s">
        <v>13</v>
      </c>
      <c r="H459" t="s">
        <v>37</v>
      </c>
      <c r="I459">
        <v>6</v>
      </c>
      <c r="J459" t="s">
        <v>18</v>
      </c>
      <c r="K459" s="8" t="s">
        <v>23</v>
      </c>
      <c r="L459" t="str">
        <f>IF(Table1[[#This Row],[Age]]&lt;25,"Under 25",IF(Table1[[#This Row],[Age]]&lt;35,"25-34",IF(Table1[[#This Row],[Age]]&lt;45,"35-44",IF(Table1[[#This Row],[Age]]&lt;55,"45-54","55+"))))</f>
        <v>35-44</v>
      </c>
    </row>
    <row r="460" spans="1:12" x14ac:dyDescent="0.3">
      <c r="A460" s="8" t="s">
        <v>483</v>
      </c>
      <c r="B460" s="6">
        <v>33</v>
      </c>
      <c r="C460" s="8" t="s">
        <v>12</v>
      </c>
      <c r="D460" s="6">
        <v>46</v>
      </c>
      <c r="E460" s="2">
        <v>3829.17</v>
      </c>
      <c r="F460" s="2">
        <v>170050.59</v>
      </c>
      <c r="G460" s="8" t="s">
        <v>20</v>
      </c>
      <c r="H460" t="s">
        <v>21</v>
      </c>
      <c r="I460">
        <v>10</v>
      </c>
      <c r="J460" t="s">
        <v>15</v>
      </c>
      <c r="K460" s="8" t="s">
        <v>23</v>
      </c>
      <c r="L460" t="str">
        <f>IF(Table1[[#This Row],[Age]]&lt;25,"Under 25",IF(Table1[[#This Row],[Age]]&lt;35,"25-34",IF(Table1[[#This Row],[Age]]&lt;45,"35-44",IF(Table1[[#This Row],[Age]]&lt;55,"45-54","55+"))))</f>
        <v>25-34</v>
      </c>
    </row>
    <row r="461" spans="1:12" x14ac:dyDescent="0.3">
      <c r="A461" s="8" t="s">
        <v>484</v>
      </c>
      <c r="B461" s="6">
        <v>48</v>
      </c>
      <c r="C461" s="8" t="s">
        <v>17</v>
      </c>
      <c r="D461" s="6">
        <v>29</v>
      </c>
      <c r="E461" s="2">
        <v>2114.34</v>
      </c>
      <c r="F461" s="2">
        <v>57993.81</v>
      </c>
      <c r="G461" s="8" t="s">
        <v>35</v>
      </c>
      <c r="H461" t="s">
        <v>21</v>
      </c>
      <c r="I461">
        <v>10</v>
      </c>
      <c r="J461" t="s">
        <v>15</v>
      </c>
      <c r="K461" s="8" t="s">
        <v>23</v>
      </c>
      <c r="L461" t="str">
        <f>IF(Table1[[#This Row],[Age]]&lt;25,"Under 25",IF(Table1[[#This Row],[Age]]&lt;35,"25-34",IF(Table1[[#This Row],[Age]]&lt;45,"35-44",IF(Table1[[#This Row],[Age]]&lt;55,"45-54","55+"))))</f>
        <v>45-54</v>
      </c>
    </row>
    <row r="462" spans="1:12" x14ac:dyDescent="0.3">
      <c r="A462" s="8" t="s">
        <v>485</v>
      </c>
      <c r="B462" s="6">
        <v>35</v>
      </c>
      <c r="C462" s="8" t="s">
        <v>12</v>
      </c>
      <c r="D462" s="6">
        <v>58</v>
      </c>
      <c r="E462" s="2">
        <v>2923.78</v>
      </c>
      <c r="F462" s="2">
        <v>159317.19</v>
      </c>
      <c r="G462" s="8" t="s">
        <v>20</v>
      </c>
      <c r="H462" t="s">
        <v>14</v>
      </c>
      <c r="I462">
        <v>1</v>
      </c>
      <c r="J462" t="s">
        <v>18</v>
      </c>
      <c r="K462" s="8" t="s">
        <v>15</v>
      </c>
      <c r="L462" t="str">
        <f>IF(Table1[[#This Row],[Age]]&lt;25,"Under 25",IF(Table1[[#This Row],[Age]]&lt;35,"25-34",IF(Table1[[#This Row],[Age]]&lt;45,"35-44",IF(Table1[[#This Row],[Age]]&lt;55,"45-54","55+"))))</f>
        <v>35-44</v>
      </c>
    </row>
    <row r="463" spans="1:12" x14ac:dyDescent="0.3">
      <c r="A463" s="8" t="s">
        <v>486</v>
      </c>
      <c r="B463" s="6">
        <v>58</v>
      </c>
      <c r="C463" s="8" t="s">
        <v>12</v>
      </c>
      <c r="D463" s="6">
        <v>53</v>
      </c>
      <c r="E463" s="2">
        <v>3118.51</v>
      </c>
      <c r="F463" s="2">
        <v>158797.07999999999</v>
      </c>
      <c r="G463" s="8" t="s">
        <v>35</v>
      </c>
      <c r="H463" t="s">
        <v>14</v>
      </c>
      <c r="I463">
        <v>8</v>
      </c>
      <c r="J463" t="s">
        <v>22</v>
      </c>
      <c r="K463" s="8" t="s">
        <v>15</v>
      </c>
      <c r="L463" t="str">
        <f>IF(Table1[[#This Row],[Age]]&lt;25,"Under 25",IF(Table1[[#This Row],[Age]]&lt;35,"25-34",IF(Table1[[#This Row],[Age]]&lt;45,"35-44",IF(Table1[[#This Row],[Age]]&lt;55,"45-54","55+"))))</f>
        <v>55+</v>
      </c>
    </row>
    <row r="464" spans="1:12" x14ac:dyDescent="0.3">
      <c r="A464" s="8" t="s">
        <v>487</v>
      </c>
      <c r="B464" s="6">
        <v>52</v>
      </c>
      <c r="C464" s="8" t="s">
        <v>17</v>
      </c>
      <c r="D464" s="6">
        <v>42</v>
      </c>
      <c r="E464" s="2">
        <v>3988.39</v>
      </c>
      <c r="F464" s="2">
        <v>159953.01</v>
      </c>
      <c r="G464" s="8" t="s">
        <v>13</v>
      </c>
      <c r="H464" t="s">
        <v>25</v>
      </c>
      <c r="I464">
        <v>4</v>
      </c>
      <c r="J464" t="s">
        <v>18</v>
      </c>
      <c r="K464" s="8" t="s">
        <v>23</v>
      </c>
      <c r="L464" t="str">
        <f>IF(Table1[[#This Row],[Age]]&lt;25,"Under 25",IF(Table1[[#This Row],[Age]]&lt;35,"25-34",IF(Table1[[#This Row],[Age]]&lt;45,"35-44",IF(Table1[[#This Row],[Age]]&lt;55,"45-54","55+"))))</f>
        <v>45-54</v>
      </c>
    </row>
    <row r="465" spans="1:12" x14ac:dyDescent="0.3">
      <c r="A465" s="8" t="s">
        <v>488</v>
      </c>
      <c r="B465" s="6">
        <v>50</v>
      </c>
      <c r="C465" s="8" t="s">
        <v>12</v>
      </c>
      <c r="D465" s="6">
        <v>26</v>
      </c>
      <c r="E465" s="2">
        <v>2137.4</v>
      </c>
      <c r="F465" s="2">
        <v>50103.45</v>
      </c>
      <c r="G465" s="8" t="s">
        <v>13</v>
      </c>
      <c r="H465" t="s">
        <v>25</v>
      </c>
      <c r="I465">
        <v>10</v>
      </c>
      <c r="J465" t="s">
        <v>18</v>
      </c>
      <c r="K465" s="8" t="s">
        <v>15</v>
      </c>
      <c r="L465" t="str">
        <f>IF(Table1[[#This Row],[Age]]&lt;25,"Under 25",IF(Table1[[#This Row],[Age]]&lt;35,"25-34",IF(Table1[[#This Row],[Age]]&lt;45,"35-44",IF(Table1[[#This Row],[Age]]&lt;55,"45-54","55+"))))</f>
        <v>45-54</v>
      </c>
    </row>
    <row r="466" spans="1:12" x14ac:dyDescent="0.3">
      <c r="A466" s="8" t="s">
        <v>489</v>
      </c>
      <c r="B466" s="6">
        <v>26</v>
      </c>
      <c r="C466" s="8" t="s">
        <v>17</v>
      </c>
      <c r="D466" s="6">
        <v>11</v>
      </c>
      <c r="E466" s="2">
        <v>1306.1500000000001</v>
      </c>
      <c r="F466" s="2">
        <v>14975.5</v>
      </c>
      <c r="G466" s="8" t="s">
        <v>35</v>
      </c>
      <c r="H466" t="s">
        <v>21</v>
      </c>
      <c r="I466">
        <v>7</v>
      </c>
      <c r="J466" t="s">
        <v>22</v>
      </c>
      <c r="K466" s="8" t="s">
        <v>23</v>
      </c>
      <c r="L466" t="str">
        <f>IF(Table1[[#This Row],[Age]]&lt;25,"Under 25",IF(Table1[[#This Row],[Age]]&lt;35,"25-34",IF(Table1[[#This Row],[Age]]&lt;45,"35-44",IF(Table1[[#This Row],[Age]]&lt;55,"45-54","55+"))))</f>
        <v>25-34</v>
      </c>
    </row>
    <row r="467" spans="1:12" x14ac:dyDescent="0.3">
      <c r="A467" s="8" t="s">
        <v>490</v>
      </c>
      <c r="B467" s="6">
        <v>49</v>
      </c>
      <c r="C467" s="8" t="s">
        <v>12</v>
      </c>
      <c r="D467" s="6">
        <v>5</v>
      </c>
      <c r="E467" s="2">
        <v>1689.61</v>
      </c>
      <c r="F467" s="2">
        <v>7899.8</v>
      </c>
      <c r="G467" s="8" t="s">
        <v>35</v>
      </c>
      <c r="H467" t="s">
        <v>25</v>
      </c>
      <c r="I467">
        <v>5</v>
      </c>
      <c r="J467" t="s">
        <v>22</v>
      </c>
      <c r="K467" s="8" t="s">
        <v>15</v>
      </c>
      <c r="L467" t="str">
        <f>IF(Table1[[#This Row],[Age]]&lt;25,"Under 25",IF(Table1[[#This Row],[Age]]&lt;35,"25-34",IF(Table1[[#This Row],[Age]]&lt;45,"35-44",IF(Table1[[#This Row],[Age]]&lt;55,"45-54","55+"))))</f>
        <v>45-54</v>
      </c>
    </row>
    <row r="468" spans="1:12" x14ac:dyDescent="0.3">
      <c r="A468" s="8" t="s">
        <v>491</v>
      </c>
      <c r="B468" s="6">
        <v>47</v>
      </c>
      <c r="C468" s="8" t="s">
        <v>12</v>
      </c>
      <c r="D468" s="6">
        <v>3</v>
      </c>
      <c r="E468" s="2">
        <v>4912.6499999999996</v>
      </c>
      <c r="F468" s="2">
        <v>13980.58</v>
      </c>
      <c r="G468" s="8" t="s">
        <v>35</v>
      </c>
      <c r="H468" t="s">
        <v>25</v>
      </c>
      <c r="I468">
        <v>10</v>
      </c>
      <c r="J468" t="s">
        <v>22</v>
      </c>
      <c r="K468" s="8" t="s">
        <v>15</v>
      </c>
      <c r="L468" t="str">
        <f>IF(Table1[[#This Row],[Age]]&lt;25,"Under 25",IF(Table1[[#This Row],[Age]]&lt;35,"25-34",IF(Table1[[#This Row],[Age]]&lt;45,"35-44",IF(Table1[[#This Row],[Age]]&lt;55,"45-54","55+"))))</f>
        <v>45-54</v>
      </c>
    </row>
    <row r="469" spans="1:12" x14ac:dyDescent="0.3">
      <c r="A469" s="8" t="s">
        <v>492</v>
      </c>
      <c r="B469" s="6">
        <v>34</v>
      </c>
      <c r="C469" s="8" t="s">
        <v>12</v>
      </c>
      <c r="D469" s="6">
        <v>25</v>
      </c>
      <c r="E469" s="2">
        <v>3441.54</v>
      </c>
      <c r="F469" s="2">
        <v>82149.09</v>
      </c>
      <c r="G469" s="8" t="s">
        <v>35</v>
      </c>
      <c r="H469" t="s">
        <v>14</v>
      </c>
      <c r="I469">
        <v>8</v>
      </c>
      <c r="J469" t="s">
        <v>22</v>
      </c>
      <c r="K469" s="8" t="s">
        <v>15</v>
      </c>
      <c r="L469" t="str">
        <f>IF(Table1[[#This Row],[Age]]&lt;25,"Under 25",IF(Table1[[#This Row],[Age]]&lt;35,"25-34",IF(Table1[[#This Row],[Age]]&lt;45,"35-44",IF(Table1[[#This Row],[Age]]&lt;55,"45-54","55+"))))</f>
        <v>25-34</v>
      </c>
    </row>
    <row r="470" spans="1:12" x14ac:dyDescent="0.3">
      <c r="A470" s="8" t="s">
        <v>493</v>
      </c>
      <c r="B470" s="6">
        <v>32</v>
      </c>
      <c r="C470" s="8" t="s">
        <v>17</v>
      </c>
      <c r="D470" s="6">
        <v>23</v>
      </c>
      <c r="E470" s="2">
        <v>4177.57</v>
      </c>
      <c r="F470" s="2">
        <v>91448.52</v>
      </c>
      <c r="G470" s="8" t="s">
        <v>35</v>
      </c>
      <c r="H470" t="s">
        <v>25</v>
      </c>
      <c r="I470">
        <v>0</v>
      </c>
      <c r="J470" t="s">
        <v>15</v>
      </c>
      <c r="K470" s="8" t="s">
        <v>15</v>
      </c>
      <c r="L470" t="str">
        <f>IF(Table1[[#This Row],[Age]]&lt;25,"Under 25",IF(Table1[[#This Row],[Age]]&lt;35,"25-34",IF(Table1[[#This Row],[Age]]&lt;45,"35-44",IF(Table1[[#This Row],[Age]]&lt;55,"45-54","55+"))))</f>
        <v>25-34</v>
      </c>
    </row>
    <row r="471" spans="1:12" x14ac:dyDescent="0.3">
      <c r="A471" s="8" t="s">
        <v>494</v>
      </c>
      <c r="B471" s="6">
        <v>46</v>
      </c>
      <c r="C471" s="8" t="s">
        <v>12</v>
      </c>
      <c r="D471" s="6">
        <v>15</v>
      </c>
      <c r="E471" s="2">
        <v>846.9</v>
      </c>
      <c r="F471" s="2">
        <v>12659.31</v>
      </c>
      <c r="G471" s="8" t="s">
        <v>13</v>
      </c>
      <c r="H471" t="s">
        <v>21</v>
      </c>
      <c r="I471">
        <v>2</v>
      </c>
      <c r="J471" t="s">
        <v>22</v>
      </c>
      <c r="K471" s="8" t="s">
        <v>15</v>
      </c>
      <c r="L471" t="str">
        <f>IF(Table1[[#This Row],[Age]]&lt;25,"Under 25",IF(Table1[[#This Row],[Age]]&lt;35,"25-34",IF(Table1[[#This Row],[Age]]&lt;45,"35-44",IF(Table1[[#This Row],[Age]]&lt;55,"45-54","55+"))))</f>
        <v>45-54</v>
      </c>
    </row>
    <row r="472" spans="1:12" x14ac:dyDescent="0.3">
      <c r="A472" s="8" t="s">
        <v>495</v>
      </c>
      <c r="B472" s="6">
        <v>25</v>
      </c>
      <c r="C472" s="8" t="s">
        <v>12</v>
      </c>
      <c r="D472" s="6">
        <v>27</v>
      </c>
      <c r="E472" s="2">
        <v>4150.28</v>
      </c>
      <c r="F472" s="2">
        <v>112958.32</v>
      </c>
      <c r="G472" s="8" t="s">
        <v>13</v>
      </c>
      <c r="H472" t="s">
        <v>46</v>
      </c>
      <c r="I472">
        <v>7</v>
      </c>
      <c r="J472" t="s">
        <v>18</v>
      </c>
      <c r="K472" s="8" t="s">
        <v>23</v>
      </c>
      <c r="L472" t="str">
        <f>IF(Table1[[#This Row],[Age]]&lt;25,"Under 25",IF(Table1[[#This Row],[Age]]&lt;35,"25-34",IF(Table1[[#This Row],[Age]]&lt;45,"35-44",IF(Table1[[#This Row],[Age]]&lt;55,"45-54","55+"))))</f>
        <v>25-34</v>
      </c>
    </row>
    <row r="473" spans="1:12" x14ac:dyDescent="0.3">
      <c r="A473" s="8" t="s">
        <v>496</v>
      </c>
      <c r="B473" s="6">
        <v>59</v>
      </c>
      <c r="C473" s="8" t="s">
        <v>17</v>
      </c>
      <c r="D473" s="6">
        <v>2</v>
      </c>
      <c r="E473" s="2">
        <v>1596.52</v>
      </c>
      <c r="F473" s="2">
        <v>2934.99</v>
      </c>
      <c r="G473" s="8" t="s">
        <v>35</v>
      </c>
      <c r="H473" t="s">
        <v>21</v>
      </c>
      <c r="I473">
        <v>10</v>
      </c>
      <c r="J473" t="s">
        <v>15</v>
      </c>
      <c r="K473" s="8" t="s">
        <v>23</v>
      </c>
      <c r="L473" t="str">
        <f>IF(Table1[[#This Row],[Age]]&lt;25,"Under 25",IF(Table1[[#This Row],[Age]]&lt;35,"25-34",IF(Table1[[#This Row],[Age]]&lt;45,"35-44",IF(Table1[[#This Row],[Age]]&lt;55,"45-54","55+"))))</f>
        <v>55+</v>
      </c>
    </row>
    <row r="474" spans="1:12" x14ac:dyDescent="0.3">
      <c r="A474" s="8" t="s">
        <v>497</v>
      </c>
      <c r="B474" s="6">
        <v>54</v>
      </c>
      <c r="C474" s="8" t="s">
        <v>12</v>
      </c>
      <c r="D474" s="6">
        <v>4</v>
      </c>
      <c r="E474" s="2">
        <v>1248.54</v>
      </c>
      <c r="F474" s="2">
        <v>5185.7700000000004</v>
      </c>
      <c r="G474" s="8" t="s">
        <v>13</v>
      </c>
      <c r="H474" t="s">
        <v>46</v>
      </c>
      <c r="I474">
        <v>9</v>
      </c>
      <c r="J474" t="s">
        <v>15</v>
      </c>
      <c r="K474" s="8" t="s">
        <v>15</v>
      </c>
      <c r="L474" t="str">
        <f>IF(Table1[[#This Row],[Age]]&lt;25,"Under 25",IF(Table1[[#This Row],[Age]]&lt;35,"25-34",IF(Table1[[#This Row],[Age]]&lt;45,"35-44",IF(Table1[[#This Row],[Age]]&lt;55,"45-54","55+"))))</f>
        <v>45-54</v>
      </c>
    </row>
    <row r="475" spans="1:12" x14ac:dyDescent="0.3">
      <c r="A475" s="8" t="s">
        <v>498</v>
      </c>
      <c r="B475" s="6">
        <v>64</v>
      </c>
      <c r="C475" s="8" t="s">
        <v>17</v>
      </c>
      <c r="D475" s="6">
        <v>6</v>
      </c>
      <c r="E475" s="2">
        <v>1474.67</v>
      </c>
      <c r="F475" s="2">
        <v>8768.2000000000007</v>
      </c>
      <c r="G475" s="8" t="s">
        <v>13</v>
      </c>
      <c r="H475" t="s">
        <v>46</v>
      </c>
      <c r="I475">
        <v>2</v>
      </c>
      <c r="J475" t="s">
        <v>18</v>
      </c>
      <c r="K475" s="8" t="s">
        <v>15</v>
      </c>
      <c r="L475" t="str">
        <f>IF(Table1[[#This Row],[Age]]&lt;25,"Under 25",IF(Table1[[#This Row],[Age]]&lt;35,"25-34",IF(Table1[[#This Row],[Age]]&lt;45,"35-44",IF(Table1[[#This Row],[Age]]&lt;55,"45-54","55+"))))</f>
        <v>55+</v>
      </c>
    </row>
    <row r="476" spans="1:12" x14ac:dyDescent="0.3">
      <c r="A476" s="8" t="s">
        <v>499</v>
      </c>
      <c r="B476" s="6">
        <v>56</v>
      </c>
      <c r="C476" s="8" t="s">
        <v>12</v>
      </c>
      <c r="D476" s="6">
        <v>51</v>
      </c>
      <c r="E476" s="2">
        <v>3121.91</v>
      </c>
      <c r="F476" s="2">
        <v>161625.34</v>
      </c>
      <c r="G476" s="8" t="s">
        <v>35</v>
      </c>
      <c r="H476" t="s">
        <v>25</v>
      </c>
      <c r="I476">
        <v>4</v>
      </c>
      <c r="J476" t="s">
        <v>18</v>
      </c>
      <c r="K476" s="8" t="s">
        <v>15</v>
      </c>
      <c r="L476" t="str">
        <f>IF(Table1[[#This Row],[Age]]&lt;25,"Under 25",IF(Table1[[#This Row],[Age]]&lt;35,"25-34",IF(Table1[[#This Row],[Age]]&lt;45,"35-44",IF(Table1[[#This Row],[Age]]&lt;55,"45-54","55+"))))</f>
        <v>55+</v>
      </c>
    </row>
    <row r="477" spans="1:12" x14ac:dyDescent="0.3">
      <c r="A477" s="8" t="s">
        <v>500</v>
      </c>
      <c r="B477" s="6">
        <v>39</v>
      </c>
      <c r="C477" s="8" t="s">
        <v>17</v>
      </c>
      <c r="D477" s="6">
        <v>39</v>
      </c>
      <c r="E477" s="2">
        <v>3157.68</v>
      </c>
      <c r="F477" s="2">
        <v>115079.79</v>
      </c>
      <c r="G477" s="8" t="s">
        <v>13</v>
      </c>
      <c r="H477" t="s">
        <v>14</v>
      </c>
      <c r="I477">
        <v>0</v>
      </c>
      <c r="J477" t="s">
        <v>18</v>
      </c>
      <c r="K477" s="8" t="s">
        <v>15</v>
      </c>
      <c r="L477" t="str">
        <f>IF(Table1[[#This Row],[Age]]&lt;25,"Under 25",IF(Table1[[#This Row],[Age]]&lt;35,"25-34",IF(Table1[[#This Row],[Age]]&lt;45,"35-44",IF(Table1[[#This Row],[Age]]&lt;55,"45-54","55+"))))</f>
        <v>35-44</v>
      </c>
    </row>
    <row r="478" spans="1:12" x14ac:dyDescent="0.3">
      <c r="A478" s="8" t="s">
        <v>501</v>
      </c>
      <c r="B478" s="6">
        <v>50</v>
      </c>
      <c r="C478" s="8" t="s">
        <v>17</v>
      </c>
      <c r="D478" s="6">
        <v>53</v>
      </c>
      <c r="E478" s="2">
        <v>1173.03</v>
      </c>
      <c r="F478" s="2">
        <v>56851.57</v>
      </c>
      <c r="G478" s="8" t="s">
        <v>13</v>
      </c>
      <c r="H478" t="s">
        <v>25</v>
      </c>
      <c r="I478">
        <v>9</v>
      </c>
      <c r="J478" t="s">
        <v>18</v>
      </c>
      <c r="K478" s="8" t="s">
        <v>15</v>
      </c>
      <c r="L478" t="str">
        <f>IF(Table1[[#This Row],[Age]]&lt;25,"Under 25",IF(Table1[[#This Row],[Age]]&lt;35,"25-34",IF(Table1[[#This Row],[Age]]&lt;45,"35-44",IF(Table1[[#This Row],[Age]]&lt;55,"45-54","55+"))))</f>
        <v>45-54</v>
      </c>
    </row>
    <row r="479" spans="1:12" x14ac:dyDescent="0.3">
      <c r="A479" s="8" t="s">
        <v>502</v>
      </c>
      <c r="B479" s="6">
        <v>52</v>
      </c>
      <c r="C479" s="8" t="s">
        <v>12</v>
      </c>
      <c r="D479" s="6">
        <v>6</v>
      </c>
      <c r="E479" s="2">
        <v>2670.08</v>
      </c>
      <c r="F479" s="2">
        <v>14731.62</v>
      </c>
      <c r="G479" s="8" t="s">
        <v>35</v>
      </c>
      <c r="H479" t="s">
        <v>14</v>
      </c>
      <c r="I479">
        <v>10</v>
      </c>
      <c r="J479" t="s">
        <v>15</v>
      </c>
      <c r="K479" s="8" t="s">
        <v>23</v>
      </c>
      <c r="L479" t="str">
        <f>IF(Table1[[#This Row],[Age]]&lt;25,"Under 25",IF(Table1[[#This Row],[Age]]&lt;35,"25-34",IF(Table1[[#This Row],[Age]]&lt;45,"35-44",IF(Table1[[#This Row],[Age]]&lt;55,"45-54","55+"))))</f>
        <v>45-54</v>
      </c>
    </row>
    <row r="480" spans="1:12" x14ac:dyDescent="0.3">
      <c r="A480" s="8" t="s">
        <v>503</v>
      </c>
      <c r="B480" s="6">
        <v>44</v>
      </c>
      <c r="C480" s="8" t="s">
        <v>17</v>
      </c>
      <c r="D480" s="6">
        <v>56</v>
      </c>
      <c r="E480" s="2">
        <v>695.47</v>
      </c>
      <c r="F480" s="2">
        <v>38146.85</v>
      </c>
      <c r="G480" s="8" t="s">
        <v>13</v>
      </c>
      <c r="H480" t="s">
        <v>46</v>
      </c>
      <c r="I480">
        <v>6</v>
      </c>
      <c r="J480" t="s">
        <v>22</v>
      </c>
      <c r="K480" s="8" t="s">
        <v>15</v>
      </c>
      <c r="L480" t="str">
        <f>IF(Table1[[#This Row],[Age]]&lt;25,"Under 25",IF(Table1[[#This Row],[Age]]&lt;35,"25-34",IF(Table1[[#This Row],[Age]]&lt;45,"35-44",IF(Table1[[#This Row],[Age]]&lt;55,"45-54","55+"))))</f>
        <v>35-44</v>
      </c>
    </row>
    <row r="481" spans="1:12" x14ac:dyDescent="0.3">
      <c r="A481" s="8" t="s">
        <v>504</v>
      </c>
      <c r="B481" s="6">
        <v>65</v>
      </c>
      <c r="C481" s="8" t="s">
        <v>12</v>
      </c>
      <c r="D481" s="6">
        <v>28</v>
      </c>
      <c r="E481" s="2">
        <v>1102.47</v>
      </c>
      <c r="F481" s="2">
        <v>29991.59</v>
      </c>
      <c r="G481" s="8" t="s">
        <v>13</v>
      </c>
      <c r="H481" t="s">
        <v>14</v>
      </c>
      <c r="I481">
        <v>4</v>
      </c>
      <c r="J481" t="s">
        <v>15</v>
      </c>
      <c r="K481" s="8" t="s">
        <v>15</v>
      </c>
      <c r="L481" t="str">
        <f>IF(Table1[[#This Row],[Age]]&lt;25,"Under 25",IF(Table1[[#This Row],[Age]]&lt;35,"25-34",IF(Table1[[#This Row],[Age]]&lt;45,"35-44",IF(Table1[[#This Row],[Age]]&lt;55,"45-54","55+"))))</f>
        <v>55+</v>
      </c>
    </row>
    <row r="482" spans="1:12" x14ac:dyDescent="0.3">
      <c r="A482" s="8" t="s">
        <v>505</v>
      </c>
      <c r="B482" s="6">
        <v>44</v>
      </c>
      <c r="C482" s="8" t="s">
        <v>17</v>
      </c>
      <c r="D482" s="6">
        <v>13</v>
      </c>
      <c r="E482" s="2">
        <v>524.61</v>
      </c>
      <c r="F482" s="2">
        <v>6898.68</v>
      </c>
      <c r="G482" s="8" t="s">
        <v>13</v>
      </c>
      <c r="H482" t="s">
        <v>25</v>
      </c>
      <c r="I482">
        <v>1</v>
      </c>
      <c r="J482" t="s">
        <v>15</v>
      </c>
      <c r="K482" s="8" t="s">
        <v>23</v>
      </c>
      <c r="L482" t="str">
        <f>IF(Table1[[#This Row],[Age]]&lt;25,"Under 25",IF(Table1[[#This Row],[Age]]&lt;35,"25-34",IF(Table1[[#This Row],[Age]]&lt;45,"35-44",IF(Table1[[#This Row],[Age]]&lt;55,"45-54","55+"))))</f>
        <v>35-44</v>
      </c>
    </row>
    <row r="483" spans="1:12" x14ac:dyDescent="0.3">
      <c r="A483" s="8" t="s">
        <v>506</v>
      </c>
      <c r="B483" s="6">
        <v>59</v>
      </c>
      <c r="C483" s="8" t="s">
        <v>12</v>
      </c>
      <c r="D483" s="6">
        <v>45</v>
      </c>
      <c r="E483" s="2">
        <v>4119.29</v>
      </c>
      <c r="F483" s="2">
        <v>178199.27</v>
      </c>
      <c r="G483" s="8" t="s">
        <v>13</v>
      </c>
      <c r="H483" t="s">
        <v>46</v>
      </c>
      <c r="I483">
        <v>10</v>
      </c>
      <c r="J483" t="s">
        <v>15</v>
      </c>
      <c r="K483" s="8" t="s">
        <v>23</v>
      </c>
      <c r="L483" t="str">
        <f>IF(Table1[[#This Row],[Age]]&lt;25,"Under 25",IF(Table1[[#This Row],[Age]]&lt;35,"25-34",IF(Table1[[#This Row],[Age]]&lt;45,"35-44",IF(Table1[[#This Row],[Age]]&lt;55,"45-54","55+"))))</f>
        <v>55+</v>
      </c>
    </row>
    <row r="484" spans="1:12" x14ac:dyDescent="0.3">
      <c r="A484" s="8" t="s">
        <v>507</v>
      </c>
      <c r="B484" s="6">
        <v>52</v>
      </c>
      <c r="C484" s="8" t="s">
        <v>17</v>
      </c>
      <c r="D484" s="6">
        <v>37</v>
      </c>
      <c r="E484" s="2">
        <v>2145.4</v>
      </c>
      <c r="F484" s="2">
        <v>74722.91</v>
      </c>
      <c r="G484" s="8" t="s">
        <v>35</v>
      </c>
      <c r="H484" t="s">
        <v>21</v>
      </c>
      <c r="I484">
        <v>6</v>
      </c>
      <c r="J484" t="s">
        <v>15</v>
      </c>
      <c r="K484" s="8" t="s">
        <v>15</v>
      </c>
      <c r="L484" t="str">
        <f>IF(Table1[[#This Row],[Age]]&lt;25,"Under 25",IF(Table1[[#This Row],[Age]]&lt;35,"25-34",IF(Table1[[#This Row],[Age]]&lt;45,"35-44",IF(Table1[[#This Row],[Age]]&lt;55,"45-54","55+"))))</f>
        <v>45-54</v>
      </c>
    </row>
    <row r="485" spans="1:12" x14ac:dyDescent="0.3">
      <c r="A485" s="8" t="s">
        <v>508</v>
      </c>
      <c r="B485" s="6">
        <v>48</v>
      </c>
      <c r="C485" s="8" t="s">
        <v>12</v>
      </c>
      <c r="D485" s="6">
        <v>24</v>
      </c>
      <c r="E485" s="2">
        <v>3015.92</v>
      </c>
      <c r="F485" s="2">
        <v>70396.210000000006</v>
      </c>
      <c r="G485" s="8" t="s">
        <v>20</v>
      </c>
      <c r="H485" t="s">
        <v>25</v>
      </c>
      <c r="I485">
        <v>5</v>
      </c>
      <c r="J485" t="s">
        <v>15</v>
      </c>
      <c r="K485" s="8" t="s">
        <v>15</v>
      </c>
      <c r="L485" t="str">
        <f>IF(Table1[[#This Row],[Age]]&lt;25,"Under 25",IF(Table1[[#This Row],[Age]]&lt;35,"25-34",IF(Table1[[#This Row],[Age]]&lt;45,"35-44",IF(Table1[[#This Row],[Age]]&lt;55,"45-54","55+"))))</f>
        <v>45-54</v>
      </c>
    </row>
    <row r="486" spans="1:12" x14ac:dyDescent="0.3">
      <c r="A486" s="8" t="s">
        <v>509</v>
      </c>
      <c r="B486" s="6">
        <v>26</v>
      </c>
      <c r="C486" s="8" t="s">
        <v>12</v>
      </c>
      <c r="D486" s="6">
        <v>48</v>
      </c>
      <c r="E486" s="2">
        <v>1533.97</v>
      </c>
      <c r="F486" s="2">
        <v>74916.62</v>
      </c>
      <c r="G486" s="8" t="s">
        <v>20</v>
      </c>
      <c r="H486" t="s">
        <v>14</v>
      </c>
      <c r="I486">
        <v>3</v>
      </c>
      <c r="J486" t="s">
        <v>15</v>
      </c>
      <c r="K486" s="8" t="s">
        <v>15</v>
      </c>
      <c r="L486" t="str">
        <f>IF(Table1[[#This Row],[Age]]&lt;25,"Under 25",IF(Table1[[#This Row],[Age]]&lt;35,"25-34",IF(Table1[[#This Row],[Age]]&lt;45,"35-44",IF(Table1[[#This Row],[Age]]&lt;55,"45-54","55+"))))</f>
        <v>25-34</v>
      </c>
    </row>
    <row r="487" spans="1:12" x14ac:dyDescent="0.3">
      <c r="A487" s="8" t="s">
        <v>510</v>
      </c>
      <c r="B487" s="6">
        <v>39</v>
      </c>
      <c r="C487" s="8" t="s">
        <v>12</v>
      </c>
      <c r="D487" s="6">
        <v>11</v>
      </c>
      <c r="E487" s="2">
        <v>2250.9699999999998</v>
      </c>
      <c r="F487" s="2">
        <v>24646.31</v>
      </c>
      <c r="G487" s="8" t="s">
        <v>20</v>
      </c>
      <c r="H487" t="s">
        <v>21</v>
      </c>
      <c r="I487">
        <v>7</v>
      </c>
      <c r="J487" t="s">
        <v>15</v>
      </c>
      <c r="K487" s="8" t="s">
        <v>23</v>
      </c>
      <c r="L487" t="str">
        <f>IF(Table1[[#This Row],[Age]]&lt;25,"Under 25",IF(Table1[[#This Row],[Age]]&lt;35,"25-34",IF(Table1[[#This Row],[Age]]&lt;45,"35-44",IF(Table1[[#This Row],[Age]]&lt;55,"45-54","55+"))))</f>
        <v>35-44</v>
      </c>
    </row>
    <row r="488" spans="1:12" x14ac:dyDescent="0.3">
      <c r="A488" s="8" t="s">
        <v>511</v>
      </c>
      <c r="B488" s="6">
        <v>22</v>
      </c>
      <c r="C488" s="8" t="s">
        <v>17</v>
      </c>
      <c r="D488" s="6">
        <v>15</v>
      </c>
      <c r="E488" s="2">
        <v>2168.7600000000002</v>
      </c>
      <c r="F488" s="2">
        <v>32250.14</v>
      </c>
      <c r="G488" s="8" t="s">
        <v>35</v>
      </c>
      <c r="H488" t="s">
        <v>46</v>
      </c>
      <c r="I488">
        <v>9</v>
      </c>
      <c r="J488" t="s">
        <v>15</v>
      </c>
      <c r="K488" s="8" t="s">
        <v>15</v>
      </c>
      <c r="L488" t="str">
        <f>IF(Table1[[#This Row],[Age]]&lt;25,"Under 25",IF(Table1[[#This Row],[Age]]&lt;35,"25-34",IF(Table1[[#This Row],[Age]]&lt;45,"35-44",IF(Table1[[#This Row],[Age]]&lt;55,"45-54","55+"))))</f>
        <v>Under 25</v>
      </c>
    </row>
    <row r="489" spans="1:12" x14ac:dyDescent="0.3">
      <c r="A489" s="8" t="s">
        <v>512</v>
      </c>
      <c r="B489" s="6">
        <v>63</v>
      </c>
      <c r="C489" s="8" t="s">
        <v>12</v>
      </c>
      <c r="D489" s="6">
        <v>50</v>
      </c>
      <c r="E489" s="2">
        <v>4191.03</v>
      </c>
      <c r="F489" s="2">
        <v>208722.45</v>
      </c>
      <c r="G489" s="8" t="s">
        <v>13</v>
      </c>
      <c r="H489" t="s">
        <v>21</v>
      </c>
      <c r="I489">
        <v>10</v>
      </c>
      <c r="J489" t="s">
        <v>15</v>
      </c>
      <c r="K489" s="8" t="s">
        <v>23</v>
      </c>
      <c r="L489" t="str">
        <f>IF(Table1[[#This Row],[Age]]&lt;25,"Under 25",IF(Table1[[#This Row],[Age]]&lt;35,"25-34",IF(Table1[[#This Row],[Age]]&lt;45,"35-44",IF(Table1[[#This Row],[Age]]&lt;55,"45-54","55+"))))</f>
        <v>55+</v>
      </c>
    </row>
    <row r="490" spans="1:12" x14ac:dyDescent="0.3">
      <c r="A490" s="8" t="s">
        <v>513</v>
      </c>
      <c r="B490" s="6">
        <v>20</v>
      </c>
      <c r="C490" s="8" t="s">
        <v>12</v>
      </c>
      <c r="D490" s="6">
        <v>40</v>
      </c>
      <c r="E490" s="2">
        <v>1262.67</v>
      </c>
      <c r="F490" s="2">
        <v>45729.32</v>
      </c>
      <c r="G490" s="8" t="s">
        <v>13</v>
      </c>
      <c r="H490" t="s">
        <v>14</v>
      </c>
      <c r="I490">
        <v>2</v>
      </c>
      <c r="J490" t="s">
        <v>18</v>
      </c>
      <c r="K490" s="8" t="s">
        <v>15</v>
      </c>
      <c r="L490" t="str">
        <f>IF(Table1[[#This Row],[Age]]&lt;25,"Under 25",IF(Table1[[#This Row],[Age]]&lt;35,"25-34",IF(Table1[[#This Row],[Age]]&lt;45,"35-44",IF(Table1[[#This Row],[Age]]&lt;55,"45-54","55+"))))</f>
        <v>Under 25</v>
      </c>
    </row>
    <row r="491" spans="1:12" x14ac:dyDescent="0.3">
      <c r="A491" s="8" t="s">
        <v>514</v>
      </c>
      <c r="B491" s="6">
        <v>43</v>
      </c>
      <c r="C491" s="8" t="s">
        <v>17</v>
      </c>
      <c r="D491" s="6">
        <v>43</v>
      </c>
      <c r="E491" s="2">
        <v>2278.14</v>
      </c>
      <c r="F491" s="2">
        <v>96775.88</v>
      </c>
      <c r="G491" s="8" t="s">
        <v>13</v>
      </c>
      <c r="H491" t="s">
        <v>14</v>
      </c>
      <c r="I491">
        <v>1</v>
      </c>
      <c r="J491" t="s">
        <v>15</v>
      </c>
      <c r="K491" s="8" t="s">
        <v>15</v>
      </c>
      <c r="L491" t="str">
        <f>IF(Table1[[#This Row],[Age]]&lt;25,"Under 25",IF(Table1[[#This Row],[Age]]&lt;35,"25-34",IF(Table1[[#This Row],[Age]]&lt;45,"35-44",IF(Table1[[#This Row],[Age]]&lt;55,"45-54","55+"))))</f>
        <v>35-44</v>
      </c>
    </row>
    <row r="492" spans="1:12" x14ac:dyDescent="0.3">
      <c r="A492" s="8" t="s">
        <v>515</v>
      </c>
      <c r="B492" s="6">
        <v>53</v>
      </c>
      <c r="C492" s="8" t="s">
        <v>17</v>
      </c>
      <c r="D492" s="6">
        <v>23</v>
      </c>
      <c r="E492" s="2">
        <v>4834.79</v>
      </c>
      <c r="F492" s="2">
        <v>104692.31</v>
      </c>
      <c r="G492" s="8" t="s">
        <v>35</v>
      </c>
      <c r="H492" t="s">
        <v>21</v>
      </c>
      <c r="I492">
        <v>7</v>
      </c>
      <c r="J492" t="s">
        <v>22</v>
      </c>
      <c r="K492" s="8" t="s">
        <v>15</v>
      </c>
      <c r="L492" t="str">
        <f>IF(Table1[[#This Row],[Age]]&lt;25,"Under 25",IF(Table1[[#This Row],[Age]]&lt;35,"25-34",IF(Table1[[#This Row],[Age]]&lt;45,"35-44",IF(Table1[[#This Row],[Age]]&lt;55,"45-54","55+"))))</f>
        <v>45-54</v>
      </c>
    </row>
    <row r="493" spans="1:12" x14ac:dyDescent="0.3">
      <c r="A493" s="8" t="s">
        <v>516</v>
      </c>
      <c r="B493" s="6">
        <v>34</v>
      </c>
      <c r="C493" s="8" t="s">
        <v>12</v>
      </c>
      <c r="D493" s="6">
        <v>27</v>
      </c>
      <c r="E493" s="2">
        <v>2778.07</v>
      </c>
      <c r="F493" s="2">
        <v>73792.36</v>
      </c>
      <c r="G493" s="8" t="s">
        <v>13</v>
      </c>
      <c r="H493" t="s">
        <v>37</v>
      </c>
      <c r="I493">
        <v>1</v>
      </c>
      <c r="J493" t="s">
        <v>15</v>
      </c>
      <c r="K493" s="8" t="s">
        <v>15</v>
      </c>
      <c r="L493" t="str">
        <f>IF(Table1[[#This Row],[Age]]&lt;25,"Under 25",IF(Table1[[#This Row],[Age]]&lt;35,"25-34",IF(Table1[[#This Row],[Age]]&lt;45,"35-44",IF(Table1[[#This Row],[Age]]&lt;55,"45-54","55+"))))</f>
        <v>25-34</v>
      </c>
    </row>
    <row r="494" spans="1:12" x14ac:dyDescent="0.3">
      <c r="A494" s="8" t="s">
        <v>517</v>
      </c>
      <c r="B494" s="6">
        <v>52</v>
      </c>
      <c r="C494" s="8" t="s">
        <v>17</v>
      </c>
      <c r="D494" s="6">
        <v>45</v>
      </c>
      <c r="E494" s="2">
        <v>2492.46</v>
      </c>
      <c r="F494" s="2">
        <v>107288.67</v>
      </c>
      <c r="G494" s="8" t="s">
        <v>13</v>
      </c>
      <c r="H494" t="s">
        <v>21</v>
      </c>
      <c r="I494">
        <v>5</v>
      </c>
      <c r="J494" t="s">
        <v>22</v>
      </c>
      <c r="K494" s="8" t="s">
        <v>15</v>
      </c>
      <c r="L494" t="str">
        <f>IF(Table1[[#This Row],[Age]]&lt;25,"Under 25",IF(Table1[[#This Row],[Age]]&lt;35,"25-34",IF(Table1[[#This Row],[Age]]&lt;45,"35-44",IF(Table1[[#This Row],[Age]]&lt;55,"45-54","55+"))))</f>
        <v>45-54</v>
      </c>
    </row>
    <row r="495" spans="1:12" x14ac:dyDescent="0.3">
      <c r="A495" s="8" t="s">
        <v>518</v>
      </c>
      <c r="B495" s="6">
        <v>55</v>
      </c>
      <c r="C495" s="8" t="s">
        <v>12</v>
      </c>
      <c r="D495" s="6">
        <v>31</v>
      </c>
      <c r="E495" s="2">
        <v>1023.21</v>
      </c>
      <c r="F495" s="2">
        <v>28868.98</v>
      </c>
      <c r="G495" s="8" t="s">
        <v>35</v>
      </c>
      <c r="H495" t="s">
        <v>21</v>
      </c>
      <c r="I495">
        <v>10</v>
      </c>
      <c r="J495" t="s">
        <v>15</v>
      </c>
      <c r="K495" s="8" t="s">
        <v>23</v>
      </c>
      <c r="L495" t="str">
        <f>IF(Table1[[#This Row],[Age]]&lt;25,"Under 25",IF(Table1[[#This Row],[Age]]&lt;35,"25-34",IF(Table1[[#This Row],[Age]]&lt;45,"35-44",IF(Table1[[#This Row],[Age]]&lt;55,"45-54","55+"))))</f>
        <v>55+</v>
      </c>
    </row>
    <row r="496" spans="1:12" x14ac:dyDescent="0.3">
      <c r="A496" s="8" t="s">
        <v>519</v>
      </c>
      <c r="B496" s="6">
        <v>38</v>
      </c>
      <c r="C496" s="8" t="s">
        <v>17</v>
      </c>
      <c r="D496" s="6">
        <v>23</v>
      </c>
      <c r="E496" s="2">
        <v>2824.27</v>
      </c>
      <c r="F496" s="2">
        <v>58557.13</v>
      </c>
      <c r="G496" s="8" t="s">
        <v>20</v>
      </c>
      <c r="H496" t="s">
        <v>21</v>
      </c>
      <c r="I496">
        <v>4</v>
      </c>
      <c r="J496" t="s">
        <v>18</v>
      </c>
      <c r="K496" s="8" t="s">
        <v>15</v>
      </c>
      <c r="L496" t="str">
        <f>IF(Table1[[#This Row],[Age]]&lt;25,"Under 25",IF(Table1[[#This Row],[Age]]&lt;35,"25-34",IF(Table1[[#This Row],[Age]]&lt;45,"35-44",IF(Table1[[#This Row],[Age]]&lt;55,"45-54","55+"))))</f>
        <v>35-44</v>
      </c>
    </row>
    <row r="497" spans="1:12" x14ac:dyDescent="0.3">
      <c r="A497" s="8" t="s">
        <v>520</v>
      </c>
      <c r="B497" s="6">
        <v>65</v>
      </c>
      <c r="C497" s="8" t="s">
        <v>17</v>
      </c>
      <c r="D497" s="6">
        <v>5</v>
      </c>
      <c r="E497" s="2">
        <v>2995.48</v>
      </c>
      <c r="F497" s="2">
        <v>13880.65</v>
      </c>
      <c r="G497" s="8" t="s">
        <v>13</v>
      </c>
      <c r="H497" t="s">
        <v>21</v>
      </c>
      <c r="I497">
        <v>9</v>
      </c>
      <c r="J497" t="s">
        <v>22</v>
      </c>
      <c r="K497" s="8" t="s">
        <v>23</v>
      </c>
      <c r="L497" t="str">
        <f>IF(Table1[[#This Row],[Age]]&lt;25,"Under 25",IF(Table1[[#This Row],[Age]]&lt;35,"25-34",IF(Table1[[#This Row],[Age]]&lt;45,"35-44",IF(Table1[[#This Row],[Age]]&lt;55,"45-54","55+"))))</f>
        <v>55+</v>
      </c>
    </row>
    <row r="498" spans="1:12" x14ac:dyDescent="0.3">
      <c r="A498" s="8" t="s">
        <v>521</v>
      </c>
      <c r="B498" s="6">
        <v>65</v>
      </c>
      <c r="C498" s="8" t="s">
        <v>12</v>
      </c>
      <c r="D498" s="6">
        <v>32</v>
      </c>
      <c r="E498" s="2">
        <v>3817.01</v>
      </c>
      <c r="F498" s="2">
        <v>114232.94</v>
      </c>
      <c r="G498" s="8" t="s">
        <v>13</v>
      </c>
      <c r="H498" t="s">
        <v>37</v>
      </c>
      <c r="I498">
        <v>3</v>
      </c>
      <c r="J498" t="s">
        <v>18</v>
      </c>
      <c r="K498" s="8" t="s">
        <v>23</v>
      </c>
      <c r="L498" t="str">
        <f>IF(Table1[[#This Row],[Age]]&lt;25,"Under 25",IF(Table1[[#This Row],[Age]]&lt;35,"25-34",IF(Table1[[#This Row],[Age]]&lt;45,"35-44",IF(Table1[[#This Row],[Age]]&lt;55,"45-54","55+"))))</f>
        <v>55+</v>
      </c>
    </row>
    <row r="499" spans="1:12" x14ac:dyDescent="0.3">
      <c r="A499" s="8" t="s">
        <v>522</v>
      </c>
      <c r="B499" s="6">
        <v>33</v>
      </c>
      <c r="C499" s="8" t="s">
        <v>17</v>
      </c>
      <c r="D499" s="6">
        <v>10</v>
      </c>
      <c r="E499" s="2">
        <v>4005.22</v>
      </c>
      <c r="F499" s="2">
        <v>36767.19</v>
      </c>
      <c r="G499" s="8" t="s">
        <v>13</v>
      </c>
      <c r="H499" t="s">
        <v>46</v>
      </c>
      <c r="I499">
        <v>9</v>
      </c>
      <c r="J499" t="s">
        <v>18</v>
      </c>
      <c r="K499" s="8" t="s">
        <v>15</v>
      </c>
      <c r="L499" t="str">
        <f>IF(Table1[[#This Row],[Age]]&lt;25,"Under 25",IF(Table1[[#This Row],[Age]]&lt;35,"25-34",IF(Table1[[#This Row],[Age]]&lt;45,"35-44",IF(Table1[[#This Row],[Age]]&lt;55,"45-54","55+"))))</f>
        <v>25-34</v>
      </c>
    </row>
    <row r="500" spans="1:12" x14ac:dyDescent="0.3">
      <c r="A500" s="8" t="s">
        <v>523</v>
      </c>
      <c r="B500" s="6">
        <v>52</v>
      </c>
      <c r="C500" s="8" t="s">
        <v>12</v>
      </c>
      <c r="D500" s="6">
        <v>55</v>
      </c>
      <c r="E500" s="2">
        <v>2670.31</v>
      </c>
      <c r="F500" s="2">
        <v>145853.69</v>
      </c>
      <c r="G500" s="8" t="s">
        <v>13</v>
      </c>
      <c r="H500" t="s">
        <v>25</v>
      </c>
      <c r="I500">
        <v>4</v>
      </c>
      <c r="J500" t="s">
        <v>22</v>
      </c>
      <c r="K500" s="8" t="s">
        <v>23</v>
      </c>
      <c r="L500" t="str">
        <f>IF(Table1[[#This Row],[Age]]&lt;25,"Under 25",IF(Table1[[#This Row],[Age]]&lt;35,"25-34",IF(Table1[[#This Row],[Age]]&lt;45,"35-44",IF(Table1[[#This Row],[Age]]&lt;55,"45-54","55+"))))</f>
        <v>45-54</v>
      </c>
    </row>
    <row r="501" spans="1:12" x14ac:dyDescent="0.3">
      <c r="A501" s="8" t="s">
        <v>524</v>
      </c>
      <c r="B501" s="6">
        <v>50</v>
      </c>
      <c r="C501" s="8" t="s">
        <v>17</v>
      </c>
      <c r="D501" s="6">
        <v>26</v>
      </c>
      <c r="E501" s="2">
        <v>1499.42</v>
      </c>
      <c r="F501" s="2">
        <v>38458.61</v>
      </c>
      <c r="G501" s="8" t="s">
        <v>13</v>
      </c>
      <c r="H501" t="s">
        <v>46</v>
      </c>
      <c r="I501">
        <v>7</v>
      </c>
      <c r="J501" t="s">
        <v>15</v>
      </c>
      <c r="K501" s="8" t="s">
        <v>23</v>
      </c>
      <c r="L501" t="str">
        <f>IF(Table1[[#This Row],[Age]]&lt;25,"Under 25",IF(Table1[[#This Row],[Age]]&lt;35,"25-34",IF(Table1[[#This Row],[Age]]&lt;45,"35-44",IF(Table1[[#This Row],[Age]]&lt;55,"45-54","55+"))))</f>
        <v>45-54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4" sqref="E4"/>
    </sheetView>
  </sheetViews>
  <sheetFormatPr defaultRowHeight="14.4" x14ac:dyDescent="0.3"/>
  <cols>
    <col min="1" max="1" width="21.33203125" bestFit="1" customWidth="1"/>
    <col min="2" max="2" width="62" bestFit="1" customWidth="1"/>
    <col min="3" max="3" width="5.44140625" bestFit="1" customWidth="1"/>
    <col min="4" max="4" width="18.88671875" customWidth="1"/>
    <col min="5" max="5" width="60.44140625" bestFit="1" customWidth="1"/>
  </cols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530</v>
      </c>
      <c r="B2" t="s">
        <v>531</v>
      </c>
      <c r="C2">
        <v>500</v>
      </c>
      <c r="D2" t="s">
        <v>532</v>
      </c>
      <c r="E2" t="s">
        <v>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B660-DF4B-402F-B45E-D51262727479}">
  <dimension ref="A1:I3"/>
  <sheetViews>
    <sheetView showGridLines="0" tabSelected="1" workbookViewId="0">
      <selection activeCell="K9" sqref="K9"/>
    </sheetView>
  </sheetViews>
  <sheetFormatPr defaultRowHeight="14.4" x14ac:dyDescent="0.3"/>
  <cols>
    <col min="1" max="1" width="24" bestFit="1" customWidth="1"/>
    <col min="3" max="3" width="26.109375" bestFit="1" customWidth="1"/>
    <col min="5" max="5" width="15" bestFit="1" customWidth="1"/>
    <col min="7" max="7" width="26.77734375" bestFit="1" customWidth="1"/>
  </cols>
  <sheetData>
    <row r="1" spans="1:9" ht="28.8" x14ac:dyDescent="0.55000000000000004">
      <c r="A1" s="17" t="s">
        <v>935</v>
      </c>
      <c r="B1" s="16"/>
      <c r="C1" s="16"/>
      <c r="D1" s="16"/>
      <c r="E1" s="16"/>
      <c r="F1" s="16"/>
      <c r="G1" s="16"/>
      <c r="H1" s="16"/>
      <c r="I1" s="16"/>
    </row>
    <row r="2" spans="1:9" ht="23.4" x14ac:dyDescent="0.45">
      <c r="A2" s="18" t="s">
        <v>936</v>
      </c>
      <c r="C2" s="19" t="s">
        <v>937</v>
      </c>
      <c r="E2" s="20" t="s">
        <v>938</v>
      </c>
      <c r="G2" s="20" t="s">
        <v>939</v>
      </c>
    </row>
    <row r="3" spans="1:9" ht="21" x14ac:dyDescent="0.4">
      <c r="A3" s="21">
        <f>COUNTA('Customer Churn Data'!A:A)-1</f>
        <v>500</v>
      </c>
      <c r="B3" s="15"/>
      <c r="C3" s="22">
        <f>COUNTIF('Customer Churn Data'!K:K,"Yes")</f>
        <v>202</v>
      </c>
      <c r="D3" s="15"/>
      <c r="E3" s="23">
        <f>C3/A3</f>
        <v>0.40400000000000003</v>
      </c>
      <c r="F3" s="15"/>
      <c r="G3" s="24">
        <f>A3-C3</f>
        <v>298</v>
      </c>
    </row>
  </sheetData>
  <mergeCells count="1"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Churn Summary</vt:lpstr>
      <vt:lpstr>Contract Churn</vt:lpstr>
      <vt:lpstr>Gender Churn</vt:lpstr>
      <vt:lpstr>Internet Churn</vt:lpstr>
      <vt:lpstr>Payment Churn</vt:lpstr>
      <vt:lpstr>Age Group Churn</vt:lpstr>
      <vt:lpstr>Tenure Churn</vt:lpstr>
      <vt:lpstr>Monthly Charges Churn</vt:lpstr>
      <vt:lpstr>Total Charges Churn</vt:lpstr>
      <vt:lpstr>Customer Churn Data</vt:lpstr>
      <vt:lpstr>Project Guide</vt:lpstr>
      <vt:lpstr>Churn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kumar rai</cp:lastModifiedBy>
  <dcterms:created xsi:type="dcterms:W3CDTF">2026-10-06T15:07:46Z</dcterms:created>
  <dcterms:modified xsi:type="dcterms:W3CDTF">2026-10-06T18:35:57Z</dcterms:modified>
</cp:coreProperties>
</file>