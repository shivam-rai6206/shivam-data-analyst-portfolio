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https://d.docs.live.net/667697bd133f4e1b/Desktop/"/>
    </mc:Choice>
  </mc:AlternateContent>
  <xr:revisionPtr revIDLastSave="265" documentId="8_{0CEFC88F-71A9-4303-8BB2-893FB882FCAF}" xr6:coauthVersionLast="47" xr6:coauthVersionMax="47" xr10:uidLastSave="{337EF49D-EC0C-43EF-81D5-84F2BDB78F47}"/>
  <bookViews>
    <workbookView xWindow="-108" yWindow="-108" windowWidth="23256" windowHeight="12456" firstSheet="3" activeTab="9" xr2:uid="{00000000-000D-0000-FFFF-FFFF00000000}"/>
  </bookViews>
  <sheets>
    <sheet name="pt_payment" sheetId="3" r:id="rId1"/>
    <sheet name="pt_city" sheetId="4" r:id="rId2"/>
    <sheet name="pt_product" sheetId="6" r:id="rId3"/>
    <sheet name="pt_region" sheetId="7" r:id="rId4"/>
    <sheet name="pt_monthly" sheetId="8" r:id="rId5"/>
    <sheet name="pt_quantity" sheetId="9" r:id="rId6"/>
    <sheet name="pt_profit" sheetId="10" r:id="rId7"/>
    <sheet name="Raw_Data" sheetId="1" r:id="rId8"/>
    <sheet name="pt_category" sheetId="5" r:id="rId9"/>
    <sheet name="DASHBOARD" sheetId="12" r:id="rId10"/>
  </sheets>
  <definedNames>
    <definedName name="_xlnm._FilterDatabase" localSheetId="7" hidden="1">Raw_Data!$A$1:$N$501</definedName>
    <definedName name="Slicer_Category">#N/A</definedName>
    <definedName name="Slicer_City">#N/A</definedName>
    <definedName name="Slicer_Payment_Method">#N/A</definedName>
  </definedNames>
  <calcPr calcId="191029"/>
  <pivotCaches>
    <pivotCache cacheId="19"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6" i="12" l="1"/>
  <c r="B5" i="12"/>
  <c r="B4" i="12"/>
  <c r="W2" i="1"/>
  <c r="V2" i="1"/>
  <c r="U2" i="1"/>
  <c r="T2" i="1"/>
  <c r="R2" i="1"/>
  <c r="S2" i="1"/>
  <c r="P2" i="1"/>
  <c r="Q2" i="1"/>
</calcChain>
</file>

<file path=xl/sharedStrings.xml><?xml version="1.0" encoding="utf-8"?>
<sst xmlns="http://schemas.openxmlformats.org/spreadsheetml/2006/main" count="3649" uniqueCount="264">
  <si>
    <t>Order_ID</t>
  </si>
  <si>
    <t>Order_Date</t>
  </si>
  <si>
    <t>Customer_ID</t>
  </si>
  <si>
    <t>Product</t>
  </si>
  <si>
    <t>Category</t>
  </si>
  <si>
    <t>Quantity</t>
  </si>
  <si>
    <t>Unit_Price</t>
  </si>
  <si>
    <t>Discount</t>
  </si>
  <si>
    <t>Sales</t>
  </si>
  <si>
    <t>Profit</t>
  </si>
  <si>
    <t>City</t>
  </si>
  <si>
    <t>Region</t>
  </si>
  <si>
    <t>Customer_Segment</t>
  </si>
  <si>
    <t>Payment_Method</t>
  </si>
  <si>
    <t>CUST-1058</t>
  </si>
  <si>
    <t>Laptop</t>
  </si>
  <si>
    <t>Electronics</t>
  </si>
  <si>
    <t>Hyderabad</t>
  </si>
  <si>
    <t>South</t>
  </si>
  <si>
    <t>Home Office</t>
  </si>
  <si>
    <t>UPI</t>
  </si>
  <si>
    <t>CUST-1024</t>
  </si>
  <si>
    <t>Keyboard</t>
  </si>
  <si>
    <t>Delhi</t>
  </si>
  <si>
    <t>North</t>
  </si>
  <si>
    <t>Consumer</t>
  </si>
  <si>
    <t>Net Banking</t>
  </si>
  <si>
    <t>CUST-1115</t>
  </si>
  <si>
    <t>Printer</t>
  </si>
  <si>
    <t>Credit Card</t>
  </si>
  <si>
    <t>CUST-1196</t>
  </si>
  <si>
    <t>Desk</t>
  </si>
  <si>
    <t>Furniture</t>
  </si>
  <si>
    <t>CUST-1068</t>
  </si>
  <si>
    <t>Mobile</t>
  </si>
  <si>
    <t>Patna</t>
  </si>
  <si>
    <t>East</t>
  </si>
  <si>
    <t>Cash</t>
  </si>
  <si>
    <t>CUST-1093</t>
  </si>
  <si>
    <t>Notebook</t>
  </si>
  <si>
    <t>Stationery</t>
  </si>
  <si>
    <t>CUST-1026</t>
  </si>
  <si>
    <t>Monitor</t>
  </si>
  <si>
    <t>Corporate</t>
  </si>
  <si>
    <t>CUST-1172</t>
  </si>
  <si>
    <t>Headphones</t>
  </si>
  <si>
    <t>CUST-1119</t>
  </si>
  <si>
    <t>Bengaluru</t>
  </si>
  <si>
    <t>CUST-1081</t>
  </si>
  <si>
    <t>CUST-1168</t>
  </si>
  <si>
    <t>CUST-1138</t>
  </si>
  <si>
    <t>Office Chair</t>
  </si>
  <si>
    <t>Lucknow</t>
  </si>
  <si>
    <t>CUST-1036</t>
  </si>
  <si>
    <t>CUST-1153</t>
  </si>
  <si>
    <t>Chandigarh</t>
  </si>
  <si>
    <t>CUST-1175</t>
  </si>
  <si>
    <t>Mumbai</t>
  </si>
  <si>
    <t>West</t>
  </si>
  <si>
    <t>Debit Card</t>
  </si>
  <si>
    <t>CUST-1001</t>
  </si>
  <si>
    <t>Jaipur</t>
  </si>
  <si>
    <t>CUST-1156</t>
  </si>
  <si>
    <t>CUST-1083</t>
  </si>
  <si>
    <t>CUST-1146</t>
  </si>
  <si>
    <t>CUST-1141</t>
  </si>
  <si>
    <t>CUST-1103</t>
  </si>
  <si>
    <t>Pune</t>
  </si>
  <si>
    <t>CUST-1087</t>
  </si>
  <si>
    <t>CUST-1182</t>
  </si>
  <si>
    <t>CUST-1122</t>
  </si>
  <si>
    <t>CUST-1120</t>
  </si>
  <si>
    <t>CUST-1064</t>
  </si>
  <si>
    <t>CUST-1193</t>
  </si>
  <si>
    <t>CUST-1043</t>
  </si>
  <si>
    <t>Pen Set</t>
  </si>
  <si>
    <t>CUST-1170</t>
  </si>
  <si>
    <t>CUST-1015</t>
  </si>
  <si>
    <t>Kolkata</t>
  </si>
  <si>
    <t>CUST-1021</t>
  </si>
  <si>
    <t>CUST-1053</t>
  </si>
  <si>
    <t>CUST-1140</t>
  </si>
  <si>
    <t>CUST-1012</t>
  </si>
  <si>
    <t>CUST-1181</t>
  </si>
  <si>
    <t>CUST-1010</t>
  </si>
  <si>
    <t>CUST-1094</t>
  </si>
  <si>
    <t>CUST-1192</t>
  </si>
  <si>
    <t>CUST-1106</t>
  </si>
  <si>
    <t>CUST-1052</t>
  </si>
  <si>
    <t>CUST-1085</t>
  </si>
  <si>
    <t>CUST-1030</t>
  </si>
  <si>
    <t>CUST-1187</t>
  </si>
  <si>
    <t>CUST-1160</t>
  </si>
  <si>
    <t>CUST-1104</t>
  </si>
  <si>
    <t>CUST-1158</t>
  </si>
  <si>
    <t>CUST-1149</t>
  </si>
  <si>
    <t>CUST-1169</t>
  </si>
  <si>
    <t>CUST-1051</t>
  </si>
  <si>
    <t>CUST-1107</t>
  </si>
  <si>
    <t>CUST-1157</t>
  </si>
  <si>
    <t>CUST-1164</t>
  </si>
  <si>
    <t>CUST-1061</t>
  </si>
  <si>
    <t>CUST-1178</t>
  </si>
  <si>
    <t>CUST-1098</t>
  </si>
  <si>
    <t>CUST-1057</t>
  </si>
  <si>
    <t>CUST-1165</t>
  </si>
  <si>
    <t>CUST-1055</t>
  </si>
  <si>
    <t>CUST-1121</t>
  </si>
  <si>
    <t>CUST-1194</t>
  </si>
  <si>
    <t>CUST-1174</t>
  </si>
  <si>
    <t>CUST-1179</t>
  </si>
  <si>
    <t>CUST-1110</t>
  </si>
  <si>
    <t>CUST-1111</t>
  </si>
  <si>
    <t>CUST-1116</t>
  </si>
  <si>
    <t>CUST-1047</t>
  </si>
  <si>
    <t>CUST-1003</t>
  </si>
  <si>
    <t>CUST-1166</t>
  </si>
  <si>
    <t>CUST-1079</t>
  </si>
  <si>
    <t>CUST-1180</t>
  </si>
  <si>
    <t>CUST-1031</t>
  </si>
  <si>
    <t>CUST-1073</t>
  </si>
  <si>
    <t>CUST-1039</t>
  </si>
  <si>
    <t>CUST-1190</t>
  </si>
  <si>
    <t>CUST-1142</t>
  </si>
  <si>
    <t>CUST-1009</t>
  </si>
  <si>
    <t>CUST-1161</t>
  </si>
  <si>
    <t>CUST-1016</t>
  </si>
  <si>
    <t>CUST-1189</t>
  </si>
  <si>
    <t>CUST-1148</t>
  </si>
  <si>
    <t>CUST-1112</t>
  </si>
  <si>
    <t>CUST-1042</t>
  </si>
  <si>
    <t>CUST-1023</t>
  </si>
  <si>
    <t>CUST-1195</t>
  </si>
  <si>
    <t>CUST-1008</t>
  </si>
  <si>
    <t>CUST-1049</t>
  </si>
  <si>
    <t>CUST-1086</t>
  </si>
  <si>
    <t>CUST-1199</t>
  </si>
  <si>
    <t>CUST-1117</t>
  </si>
  <si>
    <t>CUST-1139</t>
  </si>
  <si>
    <t>CUST-1076</t>
  </si>
  <si>
    <t>CUST-1150</t>
  </si>
  <si>
    <t>CUST-1074</t>
  </si>
  <si>
    <t>CUST-1092</t>
  </si>
  <si>
    <t>CUST-1176</t>
  </si>
  <si>
    <t>CUST-1163</t>
  </si>
  <si>
    <t>CUST-1113</t>
  </si>
  <si>
    <t>CUST-1045</t>
  </si>
  <si>
    <t>CUST-1066</t>
  </si>
  <si>
    <t>CUST-1032</t>
  </si>
  <si>
    <t>CUST-1007</t>
  </si>
  <si>
    <t>CUST-1114</t>
  </si>
  <si>
    <t>CUST-1102</t>
  </si>
  <si>
    <t>CUST-1006</t>
  </si>
  <si>
    <t>CUST-1054</t>
  </si>
  <si>
    <t>CUST-1034</t>
  </si>
  <si>
    <t>CUST-1151</t>
  </si>
  <si>
    <t>CUST-1129</t>
  </si>
  <si>
    <t>CUST-1123</t>
  </si>
  <si>
    <t>CUST-1185</t>
  </si>
  <si>
    <t>CUST-1018</t>
  </si>
  <si>
    <t>CUST-1143</t>
  </si>
  <si>
    <t>CUST-1147</t>
  </si>
  <si>
    <t>CUST-1145</t>
  </si>
  <si>
    <t>CUST-1108</t>
  </si>
  <si>
    <t>CUST-1118</t>
  </si>
  <si>
    <t>CUST-1027</t>
  </si>
  <si>
    <t>CUST-1198</t>
  </si>
  <si>
    <t>CUST-1130</t>
  </si>
  <si>
    <t>CUST-1020</t>
  </si>
  <si>
    <t>CUST-1014</t>
  </si>
  <si>
    <t>CUST-1065</t>
  </si>
  <si>
    <t>CUST-1131</t>
  </si>
  <si>
    <t>CUST-1050</t>
  </si>
  <si>
    <t>CUST-1197</t>
  </si>
  <si>
    <t>CUST-1137</t>
  </si>
  <si>
    <t>CUST-1022</t>
  </si>
  <si>
    <t>CUST-1099</t>
  </si>
  <si>
    <t>CUST-1005</t>
  </si>
  <si>
    <t>CUST-1078</t>
  </si>
  <si>
    <t>CUST-1128</t>
  </si>
  <si>
    <t>CUST-1070</t>
  </si>
  <si>
    <t>CUST-1132</t>
  </si>
  <si>
    <t>CUST-1200</t>
  </si>
  <si>
    <t>CUST-1096</t>
  </si>
  <si>
    <t>CUST-1167</t>
  </si>
  <si>
    <t>CUST-1071</t>
  </si>
  <si>
    <t>CUST-1069</t>
  </si>
  <si>
    <t>CUST-1056</t>
  </si>
  <si>
    <t>CUST-1173</t>
  </si>
  <si>
    <t>CUST-1082</t>
  </si>
  <si>
    <t>CUST-1089</t>
  </si>
  <si>
    <t>CUST-1028</t>
  </si>
  <si>
    <t>CUST-1127</t>
  </si>
  <si>
    <t>CUST-1126</t>
  </si>
  <si>
    <t>CUST-1191</t>
  </si>
  <si>
    <t>CUST-1154</t>
  </si>
  <si>
    <t>CUST-1095</t>
  </si>
  <si>
    <t>CUST-1062</t>
  </si>
  <si>
    <t>CUST-1067</t>
  </si>
  <si>
    <t>CUST-1063</t>
  </si>
  <si>
    <t>CUST-1044</t>
  </si>
  <si>
    <t>CUST-1077</t>
  </si>
  <si>
    <t>CUST-1100</t>
  </si>
  <si>
    <t>CUST-1048</t>
  </si>
  <si>
    <t>CUST-1002</t>
  </si>
  <si>
    <t>CUST-1091</t>
  </si>
  <si>
    <t>CUST-1060</t>
  </si>
  <si>
    <t>CUST-1072</t>
  </si>
  <si>
    <t>CUST-1101</t>
  </si>
  <si>
    <t>CUST-1152</t>
  </si>
  <si>
    <t>CUST-1090</t>
  </si>
  <si>
    <t>CUST-1162</t>
  </si>
  <si>
    <t>CUST-1037</t>
  </si>
  <si>
    <t>CUST-1188</t>
  </si>
  <si>
    <t>CUST-1125</t>
  </si>
  <si>
    <t>CUST-1041</t>
  </si>
  <si>
    <t>CUST-1019</t>
  </si>
  <si>
    <t>CUST-1017</t>
  </si>
  <si>
    <t>CUST-1183</t>
  </si>
  <si>
    <t>CUST-1080</t>
  </si>
  <si>
    <t>CUST-1135</t>
  </si>
  <si>
    <t>CUST-1171</t>
  </si>
  <si>
    <t>CUST-1088</t>
  </si>
  <si>
    <t>CUST-1025</t>
  </si>
  <si>
    <t>CUST-1109</t>
  </si>
  <si>
    <t>CUST-1186</t>
  </si>
  <si>
    <t>CUST-1075</t>
  </si>
  <si>
    <t>CUST-1013</t>
  </si>
  <si>
    <t>CUST-1133</t>
  </si>
  <si>
    <t>CUST-1184</t>
  </si>
  <si>
    <t>CUST-1124</t>
  </si>
  <si>
    <t>CUST-1159</t>
  </si>
  <si>
    <t>CUST-1011</t>
  </si>
  <si>
    <t>Unknown</t>
  </si>
  <si>
    <t>unknown</t>
  </si>
  <si>
    <t>sum</t>
  </si>
  <si>
    <t>profit</t>
  </si>
  <si>
    <t>order_id</t>
  </si>
  <si>
    <t>average order</t>
  </si>
  <si>
    <t>max sale</t>
  </si>
  <si>
    <t>min sale</t>
  </si>
  <si>
    <t>total order</t>
  </si>
  <si>
    <t>Row Labels</t>
  </si>
  <si>
    <t>Grand Total</t>
  </si>
  <si>
    <t>Sum of Profit</t>
  </si>
  <si>
    <t>Sum of Sales</t>
  </si>
  <si>
    <t>Jan</t>
  </si>
  <si>
    <t>Feb</t>
  </si>
  <si>
    <t>Mar</t>
  </si>
  <si>
    <t>Apr</t>
  </si>
  <si>
    <t>May</t>
  </si>
  <si>
    <t>Jun</t>
  </si>
  <si>
    <t>Jul</t>
  </si>
  <si>
    <t>Aug</t>
  </si>
  <si>
    <t>Sep</t>
  </si>
  <si>
    <t>Sum of Quantity</t>
  </si>
  <si>
    <t>KPI</t>
  </si>
  <si>
    <t>Value</t>
  </si>
  <si>
    <t>Total Sales</t>
  </si>
  <si>
    <t>Total Profit</t>
  </si>
  <si>
    <t>Total Orders</t>
  </si>
  <si>
    <t>Average Order Value</t>
  </si>
  <si>
    <t>SALES &amp; PROFIT ANALYSIS DASHBOARD</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</si>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</sst>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6" x14ac:knownFonts="1">
    <font>
      <sz val="11"/>
      <color theme="1"/>
      <name val="Calibri"/>
      <family val="2"/>
      <scheme val="minor"/>
    </font>
    <font>
      <b/>
      <sz val="11"/>
      <name val="Calibri"/>
    </font>
    <font>
      <b/>
      <sz val="11"/>
      <name val="Calibri"/>
      <family val="2"/>
    </font>
    <font>
      <b/>
      <sz val="11"/>
      <color theme="1"/>
      <name val="Calibri"/>
      <family val="2"/>
      <scheme val="minor"/>
    </font>
    <font>
      <b/>
      <sz val="18"/>
      <color theme="9" tint="0.39997558519241921"/>
      <name val="Calibri"/>
      <family val="2"/>
      <scheme val="minor"/>
    </font>
    <font>
      <sz val="11"/>
      <color theme="9" tint="0.3999755851924192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top/>
      <bottom/>
      <diagonal/>
    </border>
  </borders>
  <cellStyleXfs count="1">
    <xf numFmtId="0" fontId="0" fillId="0" borderId="0"/>
  </cellStyleXfs>
  <cellXfs count="22">
    <xf numFmtId="0" fontId="0" fillId="0" borderId="0" xfId="0"/>
    <xf numFmtId="0" fontId="1" fillId="0" borderId="1" xfId="0" applyFont="1" applyBorder="1" applyAlignment="1">
      <alignment horizontal="center" vertical="top"/>
    </xf>
    <xf numFmtId="14" fontId="1" fillId="0" borderId="1" xfId="0" applyNumberFormat="1" applyFont="1" applyBorder="1" applyAlignment="1">
      <alignment horizontal="center" vertical="top"/>
    </xf>
    <xf numFmtId="14" fontId="0" fillId="0" borderId="0" xfId="0" applyNumberFormat="1"/>
    <xf numFmtId="2" fontId="0" fillId="0" borderId="0" xfId="0" applyNumberFormat="1"/>
    <xf numFmtId="164" fontId="0" fillId="0" borderId="0" xfId="0" applyNumberFormat="1"/>
    <xf numFmtId="1" fontId="0" fillId="0" borderId="0" xfId="0" applyNumberFormat="1"/>
    <xf numFmtId="2" fontId="1" fillId="0" borderId="1" xfId="0" applyNumberFormat="1" applyFont="1" applyBorder="1" applyAlignment="1">
      <alignment horizontal="center" vertical="top"/>
    </xf>
    <xf numFmtId="164" fontId="1" fillId="0" borderId="1" xfId="0" applyNumberFormat="1" applyFont="1" applyBorder="1" applyAlignment="1">
      <alignment horizontal="center" vertical="top"/>
    </xf>
    <xf numFmtId="1" fontId="1" fillId="0" borderId="1" xfId="0" applyNumberFormat="1" applyFont="1" applyBorder="1" applyAlignment="1">
      <alignment horizontal="center" vertical="top"/>
    </xf>
    <xf numFmtId="0" fontId="2" fillId="0" borderId="2" xfId="0" applyFont="1" applyBorder="1" applyAlignment="1">
      <alignment horizontal="center" vertical="top"/>
    </xf>
    <xf numFmtId="0" fontId="0" fillId="0" borderId="0" xfId="0" pivotButton="1"/>
    <xf numFmtId="0" fontId="0" fillId="0" borderId="0" xfId="0" applyAlignment="1">
      <alignment horizontal="left"/>
    </xf>
    <xf numFmtId="0" fontId="0" fillId="0" borderId="0" xfId="0" applyAlignment="1">
      <alignment vertical="center" wrapText="1"/>
    </xf>
    <xf numFmtId="0" fontId="3" fillId="0" borderId="1" xfId="0" applyFont="1" applyBorder="1" applyAlignment="1">
      <alignment horizontal="center" vertical="center" wrapText="1"/>
    </xf>
    <xf numFmtId="0" fontId="3" fillId="0" borderId="1" xfId="0" applyFont="1" applyBorder="1" applyAlignment="1">
      <alignment wrapText="1"/>
    </xf>
    <xf numFmtId="3" fontId="3" fillId="2" borderId="1" xfId="0" applyNumberFormat="1" applyFont="1" applyFill="1" applyBorder="1" applyAlignment="1"/>
    <xf numFmtId="3" fontId="3" fillId="0" borderId="1" xfId="0" applyNumberFormat="1" applyFont="1" applyBorder="1" applyAlignment="1">
      <alignment horizontal="right" wrapText="1"/>
    </xf>
    <xf numFmtId="4" fontId="3" fillId="0" borderId="1" xfId="0" applyNumberFormat="1" applyFont="1" applyBorder="1" applyAlignment="1">
      <alignment horizontal="right" wrapText="1"/>
    </xf>
    <xf numFmtId="0" fontId="4" fillId="0" borderId="0" xfId="0" applyFont="1" applyAlignment="1">
      <alignment horizontal="center"/>
    </xf>
    <xf numFmtId="0" fontId="5" fillId="0" borderId="0" xfId="0" applyFont="1" applyAlignment="1">
      <alignment horizontal="center"/>
    </xf>
    <xf numFmtId="0" fontId="2"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[Data_Analyst_Sales_Project_Raw_Data.xlsx]pt_payment!PivotTable1</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pt_payment!$B$3</c:f>
              <c:strCache>
                <c:ptCount val="1"/>
                <c:pt idx="0">
                  <c:v>Total</c:v>
                </c:pt>
              </c:strCache>
            </c:strRef>
          </c:tx>
          <c:spPr>
            <a:solidFill>
              <a:schemeClr val="accent1"/>
            </a:solidFill>
            <a:ln>
              <a:noFill/>
            </a:ln>
            <a:effectLst/>
          </c:spPr>
          <c:invertIfNegative val="0"/>
          <c:cat>
            <c:strRef>
              <c:f>pt_payment!$A$4:$A$9</c:f>
              <c:strCache>
                <c:ptCount val="5"/>
                <c:pt idx="0">
                  <c:v>Cash</c:v>
                </c:pt>
                <c:pt idx="1">
                  <c:v>Credit Card</c:v>
                </c:pt>
                <c:pt idx="2">
                  <c:v>Debit Card</c:v>
                </c:pt>
                <c:pt idx="3">
                  <c:v>Net Banking</c:v>
                </c:pt>
                <c:pt idx="4">
                  <c:v>UPI</c:v>
                </c:pt>
              </c:strCache>
            </c:strRef>
          </c:cat>
          <c:val>
            <c:numRef>
              <c:f>pt_payment!$B$4:$B$9</c:f>
              <c:numCache>
                <c:formatCode>0</c:formatCode>
                <c:ptCount val="5"/>
                <c:pt idx="0">
                  <c:v>3765106</c:v>
                </c:pt>
                <c:pt idx="1">
                  <c:v>4160939</c:v>
                </c:pt>
                <c:pt idx="2">
                  <c:v>3957195</c:v>
                </c:pt>
                <c:pt idx="3">
                  <c:v>4404416</c:v>
                </c:pt>
                <c:pt idx="4">
                  <c:v>5342638</c:v>
                </c:pt>
              </c:numCache>
            </c:numRef>
          </c:val>
          <c:extLst>
            <c:ext xmlns:c16="http://schemas.microsoft.com/office/drawing/2014/chart" uri="{C3380CC4-5D6E-409C-BE32-E72D297353CC}">
              <c16:uniqueId val="{00000000-B3B6-4222-B658-A5423E819CD9}"/>
            </c:ext>
          </c:extLst>
        </c:ser>
        <c:dLbls>
          <c:showLegendKey val="0"/>
          <c:showVal val="0"/>
          <c:showCatName val="0"/>
          <c:showSerName val="0"/>
          <c:showPercent val="0"/>
          <c:showBubbleSize val="0"/>
        </c:dLbls>
        <c:gapWidth val="150"/>
        <c:overlap val="100"/>
        <c:axId val="1215609951"/>
        <c:axId val="1144458543"/>
      </c:barChart>
      <c:catAx>
        <c:axId val="1215609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4458543"/>
        <c:crosses val="autoZero"/>
        <c:auto val="1"/>
        <c:lblAlgn val="ctr"/>
        <c:lblOffset val="100"/>
        <c:noMultiLvlLbl val="0"/>
      </c:catAx>
      <c:valAx>
        <c:axId val="114445854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5609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[Data_Analyst_Sales_Project_Raw_Data.xlsx]pt_city!PivotTable2</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pt_city!$B$3</c:f>
              <c:strCache>
                <c:ptCount val="1"/>
                <c:pt idx="0">
                  <c:v>Total</c:v>
                </c:pt>
              </c:strCache>
            </c:strRef>
          </c:tx>
          <c:spPr>
            <a:solidFill>
              <a:schemeClr val="accent1"/>
            </a:solidFill>
            <a:ln>
              <a:noFill/>
            </a:ln>
            <a:effectLst/>
          </c:spPr>
          <c:invertIfNegative val="0"/>
          <c:cat>
            <c:strRef>
              <c:f>pt_city!$A$4:$A$15</c:f>
              <c:strCache>
                <c:ptCount val="11"/>
                <c:pt idx="0">
                  <c:v>Bengaluru</c:v>
                </c:pt>
                <c:pt idx="1">
                  <c:v>Chandigarh</c:v>
                </c:pt>
                <c:pt idx="2">
                  <c:v>Delhi</c:v>
                </c:pt>
                <c:pt idx="3">
                  <c:v>Hyderabad</c:v>
                </c:pt>
                <c:pt idx="4">
                  <c:v>Jaipur</c:v>
                </c:pt>
                <c:pt idx="5">
                  <c:v>Kolkata</c:v>
                </c:pt>
                <c:pt idx="6">
                  <c:v>Lucknow</c:v>
                </c:pt>
                <c:pt idx="7">
                  <c:v>Mumbai</c:v>
                </c:pt>
                <c:pt idx="8">
                  <c:v>Patna</c:v>
                </c:pt>
                <c:pt idx="9">
                  <c:v>Pune</c:v>
                </c:pt>
                <c:pt idx="10">
                  <c:v>Unknown</c:v>
                </c:pt>
              </c:strCache>
            </c:strRef>
          </c:cat>
          <c:val>
            <c:numRef>
              <c:f>pt_city!$B$4:$B$15</c:f>
              <c:numCache>
                <c:formatCode>0</c:formatCode>
                <c:ptCount val="11"/>
                <c:pt idx="0">
                  <c:v>2398902</c:v>
                </c:pt>
                <c:pt idx="1">
                  <c:v>1995094</c:v>
                </c:pt>
                <c:pt idx="2">
                  <c:v>2428220</c:v>
                </c:pt>
                <c:pt idx="3">
                  <c:v>1973562</c:v>
                </c:pt>
                <c:pt idx="4">
                  <c:v>2119695</c:v>
                </c:pt>
                <c:pt idx="5">
                  <c:v>1789286</c:v>
                </c:pt>
                <c:pt idx="6">
                  <c:v>1837411</c:v>
                </c:pt>
                <c:pt idx="7">
                  <c:v>2091905</c:v>
                </c:pt>
                <c:pt idx="8">
                  <c:v>2268719</c:v>
                </c:pt>
                <c:pt idx="9">
                  <c:v>2647500</c:v>
                </c:pt>
                <c:pt idx="10">
                  <c:v>80000</c:v>
                </c:pt>
              </c:numCache>
            </c:numRef>
          </c:val>
          <c:extLst>
            <c:ext xmlns:c16="http://schemas.microsoft.com/office/drawing/2014/chart" uri="{C3380CC4-5D6E-409C-BE32-E72D297353CC}">
              <c16:uniqueId val="{00000000-A618-4776-B998-525C5EAA5C1E}"/>
            </c:ext>
          </c:extLst>
        </c:ser>
        <c:dLbls>
          <c:showLegendKey val="0"/>
          <c:showVal val="0"/>
          <c:showCatName val="0"/>
          <c:showSerName val="0"/>
          <c:showPercent val="0"/>
          <c:showBubbleSize val="0"/>
        </c:dLbls>
        <c:gapWidth val="150"/>
        <c:overlap val="100"/>
        <c:axId val="1072326575"/>
        <c:axId val="1144489263"/>
      </c:barChart>
      <c:catAx>
        <c:axId val="1072326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4489263"/>
        <c:crosses val="autoZero"/>
        <c:auto val="1"/>
        <c:lblAlgn val="ctr"/>
        <c:lblOffset val="100"/>
        <c:noMultiLvlLbl val="0"/>
      </c:catAx>
      <c:valAx>
        <c:axId val="114448926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23265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[Data_Analyst_Sales_Project_Raw_Data.xlsx]pt_monthly!PivotTable6</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pt_monthly!$B$3</c:f>
              <c:strCache>
                <c:ptCount val="1"/>
                <c:pt idx="0">
                  <c:v>Total</c:v>
                </c:pt>
              </c:strCache>
            </c:strRef>
          </c:tx>
          <c:spPr>
            <a:solidFill>
              <a:schemeClr val="accent1"/>
            </a:solidFill>
            <a:ln>
              <a:noFill/>
            </a:ln>
            <a:effectLst/>
          </c:spPr>
          <c:invertIfNegative val="0"/>
          <c:cat>
            <c:strRef>
              <c:f>pt_monthly!$A$4:$A$13</c:f>
              <c:strCache>
                <c:ptCount val="9"/>
                <c:pt idx="0">
                  <c:v>Jan</c:v>
                </c:pt>
                <c:pt idx="1">
                  <c:v>Feb</c:v>
                </c:pt>
                <c:pt idx="2">
                  <c:v>Mar</c:v>
                </c:pt>
                <c:pt idx="3">
                  <c:v>Apr</c:v>
                </c:pt>
                <c:pt idx="4">
                  <c:v>May</c:v>
                </c:pt>
                <c:pt idx="5">
                  <c:v>Jun</c:v>
                </c:pt>
                <c:pt idx="6">
                  <c:v>Jul</c:v>
                </c:pt>
                <c:pt idx="7">
                  <c:v>Aug</c:v>
                </c:pt>
                <c:pt idx="8">
                  <c:v>Sep</c:v>
                </c:pt>
              </c:strCache>
            </c:strRef>
          </c:cat>
          <c:val>
            <c:numRef>
              <c:f>pt_monthly!$B$4:$B$13</c:f>
              <c:numCache>
                <c:formatCode>0</c:formatCode>
                <c:ptCount val="9"/>
                <c:pt idx="0">
                  <c:v>1930042</c:v>
                </c:pt>
                <c:pt idx="1">
                  <c:v>2891875</c:v>
                </c:pt>
                <c:pt idx="2">
                  <c:v>2200094</c:v>
                </c:pt>
                <c:pt idx="3">
                  <c:v>1775978</c:v>
                </c:pt>
                <c:pt idx="4">
                  <c:v>3187163</c:v>
                </c:pt>
                <c:pt idx="5">
                  <c:v>2001308</c:v>
                </c:pt>
                <c:pt idx="6">
                  <c:v>2395471</c:v>
                </c:pt>
                <c:pt idx="7">
                  <c:v>2318281</c:v>
                </c:pt>
                <c:pt idx="8">
                  <c:v>2930082</c:v>
                </c:pt>
              </c:numCache>
            </c:numRef>
          </c:val>
          <c:extLst>
            <c:ext xmlns:c16="http://schemas.microsoft.com/office/drawing/2014/chart" uri="{C3380CC4-5D6E-409C-BE32-E72D297353CC}">
              <c16:uniqueId val="{00000000-9AAD-4802-A515-A485C9DB574B}"/>
            </c:ext>
          </c:extLst>
        </c:ser>
        <c:dLbls>
          <c:showLegendKey val="0"/>
          <c:showVal val="0"/>
          <c:showCatName val="0"/>
          <c:showSerName val="0"/>
          <c:showPercent val="0"/>
          <c:showBubbleSize val="0"/>
        </c:dLbls>
        <c:gapWidth val="219"/>
        <c:overlap val="100"/>
        <c:axId val="1215691615"/>
        <c:axId val="1144493103"/>
      </c:barChart>
      <c:catAx>
        <c:axId val="1215691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4493103"/>
        <c:crosses val="autoZero"/>
        <c:auto val="1"/>
        <c:lblAlgn val="ctr"/>
        <c:lblOffset val="100"/>
        <c:noMultiLvlLbl val="0"/>
      </c:catAx>
      <c:valAx>
        <c:axId val="114449310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5691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[Data_Analyst_Sales_Project_Raw_Data.xlsx]pt_category!PivotTable3</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pt_category!$B$3</c:f>
              <c:strCache>
                <c:ptCount val="1"/>
                <c:pt idx="0">
                  <c:v>Total</c:v>
                </c:pt>
              </c:strCache>
            </c:strRef>
          </c:tx>
          <c:spPr>
            <a:solidFill>
              <a:schemeClr val="accent1"/>
            </a:solidFill>
            <a:ln>
              <a:noFill/>
            </a:ln>
            <a:effectLst/>
          </c:spPr>
          <c:invertIfNegative val="0"/>
          <c:cat>
            <c:strRef>
              <c:f>pt_category!$A$4:$A$7</c:f>
              <c:strCache>
                <c:ptCount val="3"/>
                <c:pt idx="0">
                  <c:v>Electronics</c:v>
                </c:pt>
                <c:pt idx="1">
                  <c:v>Furniture</c:v>
                </c:pt>
                <c:pt idx="2">
                  <c:v>Stationery</c:v>
                </c:pt>
              </c:strCache>
            </c:strRef>
          </c:cat>
          <c:val>
            <c:numRef>
              <c:f>pt_category!$B$4:$B$7</c:f>
              <c:numCache>
                <c:formatCode>0</c:formatCode>
                <c:ptCount val="3"/>
                <c:pt idx="0">
                  <c:v>18188160</c:v>
                </c:pt>
                <c:pt idx="1">
                  <c:v>3400050</c:v>
                </c:pt>
                <c:pt idx="2">
                  <c:v>42084</c:v>
                </c:pt>
              </c:numCache>
            </c:numRef>
          </c:val>
          <c:extLst>
            <c:ext xmlns:c16="http://schemas.microsoft.com/office/drawing/2014/chart" uri="{C3380CC4-5D6E-409C-BE32-E72D297353CC}">
              <c16:uniqueId val="{00000000-BF6A-40F6-AC35-968A127ED049}"/>
            </c:ext>
          </c:extLst>
        </c:ser>
        <c:dLbls>
          <c:showLegendKey val="0"/>
          <c:showVal val="0"/>
          <c:showCatName val="0"/>
          <c:showSerName val="0"/>
          <c:showPercent val="0"/>
          <c:showBubbleSize val="0"/>
        </c:dLbls>
        <c:gapWidth val="219"/>
        <c:overlap val="-27"/>
        <c:axId val="1072340959"/>
        <c:axId val="1144458063"/>
      </c:barChart>
      <c:catAx>
        <c:axId val="1072340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4458063"/>
        <c:crosses val="autoZero"/>
        <c:auto val="1"/>
        <c:lblAlgn val="ctr"/>
        <c:lblOffset val="100"/>
        <c:noMultiLvlLbl val="0"/>
      </c:catAx>
      <c:valAx>
        <c:axId val="114445806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2340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[Data_Analyst_Sales_Project_Raw_Data.xlsx]pt_category!PivotTable3</c:name>
    <c:fmtId val="1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pt_category!$B$3</c:f>
              <c:strCache>
                <c:ptCount val="1"/>
                <c:pt idx="0">
                  <c:v>Total</c:v>
                </c:pt>
              </c:strCache>
            </c:strRef>
          </c:tx>
          <c:spPr>
            <a:solidFill>
              <a:schemeClr val="accent1"/>
            </a:solidFill>
            <a:ln>
              <a:noFill/>
            </a:ln>
            <a:effectLst/>
          </c:spPr>
          <c:invertIfNegative val="0"/>
          <c:cat>
            <c:strRef>
              <c:f>pt_category!$A$4:$A$7</c:f>
              <c:strCache>
                <c:ptCount val="3"/>
                <c:pt idx="0">
                  <c:v>Electronics</c:v>
                </c:pt>
                <c:pt idx="1">
                  <c:v>Furniture</c:v>
                </c:pt>
                <c:pt idx="2">
                  <c:v>Stationery</c:v>
                </c:pt>
              </c:strCache>
            </c:strRef>
          </c:cat>
          <c:val>
            <c:numRef>
              <c:f>pt_category!$B$4:$B$7</c:f>
              <c:numCache>
                <c:formatCode>0</c:formatCode>
                <c:ptCount val="3"/>
                <c:pt idx="0">
                  <c:v>18188160</c:v>
                </c:pt>
                <c:pt idx="1">
                  <c:v>3400050</c:v>
                </c:pt>
                <c:pt idx="2">
                  <c:v>42084</c:v>
                </c:pt>
              </c:numCache>
            </c:numRef>
          </c:val>
          <c:extLst>
            <c:ext xmlns:c16="http://schemas.microsoft.com/office/drawing/2014/chart" uri="{C3380CC4-5D6E-409C-BE32-E72D297353CC}">
              <c16:uniqueId val="{00000000-6BF2-4798-9D74-B2B2E529E4B0}"/>
            </c:ext>
          </c:extLst>
        </c:ser>
        <c:dLbls>
          <c:showLegendKey val="0"/>
          <c:showVal val="0"/>
          <c:showCatName val="0"/>
          <c:showSerName val="0"/>
          <c:showPercent val="0"/>
          <c:showBubbleSize val="0"/>
        </c:dLbls>
        <c:gapWidth val="219"/>
        <c:overlap val="-27"/>
        <c:axId val="1072340959"/>
        <c:axId val="1144458063"/>
      </c:barChart>
      <c:catAx>
        <c:axId val="1072340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4458063"/>
        <c:crosses val="autoZero"/>
        <c:auto val="1"/>
        <c:lblAlgn val="ctr"/>
        <c:lblOffset val="100"/>
        <c:noMultiLvlLbl val="0"/>
      </c:catAx>
      <c:valAx>
        <c:axId val="114445806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2340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[Data_Analyst_Sales_Project_Raw_Data.xlsx]pt_city!PivotTable2</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pt_city!$B$3</c:f>
              <c:strCache>
                <c:ptCount val="1"/>
                <c:pt idx="0">
                  <c:v>Total</c:v>
                </c:pt>
              </c:strCache>
            </c:strRef>
          </c:tx>
          <c:spPr>
            <a:solidFill>
              <a:schemeClr val="accent1"/>
            </a:solidFill>
            <a:ln>
              <a:noFill/>
            </a:ln>
            <a:effectLst/>
          </c:spPr>
          <c:invertIfNegative val="0"/>
          <c:cat>
            <c:strRef>
              <c:f>pt_city!$A$4:$A$15</c:f>
              <c:strCache>
                <c:ptCount val="11"/>
                <c:pt idx="0">
                  <c:v>Bengaluru</c:v>
                </c:pt>
                <c:pt idx="1">
                  <c:v>Chandigarh</c:v>
                </c:pt>
                <c:pt idx="2">
                  <c:v>Delhi</c:v>
                </c:pt>
                <c:pt idx="3">
                  <c:v>Hyderabad</c:v>
                </c:pt>
                <c:pt idx="4">
                  <c:v>Jaipur</c:v>
                </c:pt>
                <c:pt idx="5">
                  <c:v>Kolkata</c:v>
                </c:pt>
                <c:pt idx="6">
                  <c:v>Lucknow</c:v>
                </c:pt>
                <c:pt idx="7">
                  <c:v>Mumbai</c:v>
                </c:pt>
                <c:pt idx="8">
                  <c:v>Patna</c:v>
                </c:pt>
                <c:pt idx="9">
                  <c:v>Pune</c:v>
                </c:pt>
                <c:pt idx="10">
                  <c:v>Unknown</c:v>
                </c:pt>
              </c:strCache>
            </c:strRef>
          </c:cat>
          <c:val>
            <c:numRef>
              <c:f>pt_city!$B$4:$B$15</c:f>
              <c:numCache>
                <c:formatCode>0</c:formatCode>
                <c:ptCount val="11"/>
                <c:pt idx="0">
                  <c:v>2398902</c:v>
                </c:pt>
                <c:pt idx="1">
                  <c:v>1995094</c:v>
                </c:pt>
                <c:pt idx="2">
                  <c:v>2428220</c:v>
                </c:pt>
                <c:pt idx="3">
                  <c:v>1973562</c:v>
                </c:pt>
                <c:pt idx="4">
                  <c:v>2119695</c:v>
                </c:pt>
                <c:pt idx="5">
                  <c:v>1789286</c:v>
                </c:pt>
                <c:pt idx="6">
                  <c:v>1837411</c:v>
                </c:pt>
                <c:pt idx="7">
                  <c:v>2091905</c:v>
                </c:pt>
                <c:pt idx="8">
                  <c:v>2268719</c:v>
                </c:pt>
                <c:pt idx="9">
                  <c:v>2647500</c:v>
                </c:pt>
                <c:pt idx="10">
                  <c:v>80000</c:v>
                </c:pt>
              </c:numCache>
            </c:numRef>
          </c:val>
          <c:extLst>
            <c:ext xmlns:c16="http://schemas.microsoft.com/office/drawing/2014/chart" uri="{C3380CC4-5D6E-409C-BE32-E72D297353CC}">
              <c16:uniqueId val="{00000000-76C8-428A-BBCC-C6558D170AA6}"/>
            </c:ext>
          </c:extLst>
        </c:ser>
        <c:dLbls>
          <c:showLegendKey val="0"/>
          <c:showVal val="0"/>
          <c:showCatName val="0"/>
          <c:showSerName val="0"/>
          <c:showPercent val="0"/>
          <c:showBubbleSize val="0"/>
        </c:dLbls>
        <c:gapWidth val="150"/>
        <c:overlap val="100"/>
        <c:axId val="1072326575"/>
        <c:axId val="1144489263"/>
      </c:barChart>
      <c:catAx>
        <c:axId val="1072326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4489263"/>
        <c:crosses val="autoZero"/>
        <c:auto val="1"/>
        <c:lblAlgn val="ctr"/>
        <c:lblOffset val="100"/>
        <c:noMultiLvlLbl val="0"/>
      </c:catAx>
      <c:valAx>
        <c:axId val="114448926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23265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[Data_Analyst_Sales_Project_Raw_Data.xlsx]pt_payment!PivotTable1</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pt_payment!$B$3</c:f>
              <c:strCache>
                <c:ptCount val="1"/>
                <c:pt idx="0">
                  <c:v>Total</c:v>
                </c:pt>
              </c:strCache>
            </c:strRef>
          </c:tx>
          <c:spPr>
            <a:solidFill>
              <a:schemeClr val="accent1"/>
            </a:solidFill>
            <a:ln>
              <a:noFill/>
            </a:ln>
            <a:effectLst/>
          </c:spPr>
          <c:invertIfNegative val="0"/>
          <c:cat>
            <c:strRef>
              <c:f>pt_payment!$A$4:$A$9</c:f>
              <c:strCache>
                <c:ptCount val="5"/>
                <c:pt idx="0">
                  <c:v>Cash</c:v>
                </c:pt>
                <c:pt idx="1">
                  <c:v>Credit Card</c:v>
                </c:pt>
                <c:pt idx="2">
                  <c:v>Debit Card</c:v>
                </c:pt>
                <c:pt idx="3">
                  <c:v>Net Banking</c:v>
                </c:pt>
                <c:pt idx="4">
                  <c:v>UPI</c:v>
                </c:pt>
              </c:strCache>
            </c:strRef>
          </c:cat>
          <c:val>
            <c:numRef>
              <c:f>pt_payment!$B$4:$B$9</c:f>
              <c:numCache>
                <c:formatCode>0</c:formatCode>
                <c:ptCount val="5"/>
                <c:pt idx="0">
                  <c:v>3765106</c:v>
                </c:pt>
                <c:pt idx="1">
                  <c:v>4160939</c:v>
                </c:pt>
                <c:pt idx="2">
                  <c:v>3957195</c:v>
                </c:pt>
                <c:pt idx="3">
                  <c:v>4404416</c:v>
                </c:pt>
                <c:pt idx="4">
                  <c:v>5342638</c:v>
                </c:pt>
              </c:numCache>
            </c:numRef>
          </c:val>
          <c:extLst>
            <c:ext xmlns:c16="http://schemas.microsoft.com/office/drawing/2014/chart" uri="{C3380CC4-5D6E-409C-BE32-E72D297353CC}">
              <c16:uniqueId val="{00000000-81D8-407D-938F-6EB0F997C9ED}"/>
            </c:ext>
          </c:extLst>
        </c:ser>
        <c:dLbls>
          <c:showLegendKey val="0"/>
          <c:showVal val="0"/>
          <c:showCatName val="0"/>
          <c:showSerName val="0"/>
          <c:showPercent val="0"/>
          <c:showBubbleSize val="0"/>
        </c:dLbls>
        <c:gapWidth val="150"/>
        <c:overlap val="100"/>
        <c:axId val="1215609951"/>
        <c:axId val="1144458543"/>
      </c:barChart>
      <c:catAx>
        <c:axId val="1215609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4458543"/>
        <c:crosses val="autoZero"/>
        <c:auto val="1"/>
        <c:lblAlgn val="ctr"/>
        <c:lblOffset val="100"/>
        <c:noMultiLvlLbl val="0"/>
      </c:catAx>
      <c:valAx>
        <c:axId val="114445854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5609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[Data_Analyst_Sales_Project_Raw_Data.xlsx]pt_monthly!PivotTable6</c:name>
    <c:fmtId val="1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pt_monthly!$B$3</c:f>
              <c:strCache>
                <c:ptCount val="1"/>
                <c:pt idx="0">
                  <c:v>Total</c:v>
                </c:pt>
              </c:strCache>
            </c:strRef>
          </c:tx>
          <c:spPr>
            <a:solidFill>
              <a:schemeClr val="accent1"/>
            </a:solidFill>
            <a:ln>
              <a:noFill/>
            </a:ln>
            <a:effectLst/>
          </c:spPr>
          <c:invertIfNegative val="0"/>
          <c:cat>
            <c:strRef>
              <c:f>pt_monthly!$A$4:$A$13</c:f>
              <c:strCache>
                <c:ptCount val="9"/>
                <c:pt idx="0">
                  <c:v>Jan</c:v>
                </c:pt>
                <c:pt idx="1">
                  <c:v>Feb</c:v>
                </c:pt>
                <c:pt idx="2">
                  <c:v>Mar</c:v>
                </c:pt>
                <c:pt idx="3">
                  <c:v>Apr</c:v>
                </c:pt>
                <c:pt idx="4">
                  <c:v>May</c:v>
                </c:pt>
                <c:pt idx="5">
                  <c:v>Jun</c:v>
                </c:pt>
                <c:pt idx="6">
                  <c:v>Jul</c:v>
                </c:pt>
                <c:pt idx="7">
                  <c:v>Aug</c:v>
                </c:pt>
                <c:pt idx="8">
                  <c:v>Sep</c:v>
                </c:pt>
              </c:strCache>
            </c:strRef>
          </c:cat>
          <c:val>
            <c:numRef>
              <c:f>pt_monthly!$B$4:$B$13</c:f>
              <c:numCache>
                <c:formatCode>0</c:formatCode>
                <c:ptCount val="9"/>
                <c:pt idx="0">
                  <c:v>1930042</c:v>
                </c:pt>
                <c:pt idx="1">
                  <c:v>2891875</c:v>
                </c:pt>
                <c:pt idx="2">
                  <c:v>2200094</c:v>
                </c:pt>
                <c:pt idx="3">
                  <c:v>1775978</c:v>
                </c:pt>
                <c:pt idx="4">
                  <c:v>3187163</c:v>
                </c:pt>
                <c:pt idx="5">
                  <c:v>2001308</c:v>
                </c:pt>
                <c:pt idx="6">
                  <c:v>2395471</c:v>
                </c:pt>
                <c:pt idx="7">
                  <c:v>2318281</c:v>
                </c:pt>
                <c:pt idx="8">
                  <c:v>2930082</c:v>
                </c:pt>
              </c:numCache>
            </c:numRef>
          </c:val>
          <c:extLst>
            <c:ext xmlns:c16="http://schemas.microsoft.com/office/drawing/2014/chart" uri="{C3380CC4-5D6E-409C-BE32-E72D297353CC}">
              <c16:uniqueId val="{00000000-C428-441C-8D99-1327DEE46754}"/>
            </c:ext>
          </c:extLst>
        </c:ser>
        <c:dLbls>
          <c:showLegendKey val="0"/>
          <c:showVal val="0"/>
          <c:showCatName val="0"/>
          <c:showSerName val="0"/>
          <c:showPercent val="0"/>
          <c:showBubbleSize val="0"/>
        </c:dLbls>
        <c:gapWidth val="219"/>
        <c:overlap val="100"/>
        <c:axId val="1215691615"/>
        <c:axId val="1144493103"/>
      </c:barChart>
      <c:catAx>
        <c:axId val="1215691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4493103"/>
        <c:crosses val="autoZero"/>
        <c:auto val="1"/>
        <c:lblAlgn val="ctr"/>
        <c:lblOffset val="100"/>
        <c:noMultiLvlLbl val="0"/>
      </c:catAx>
      <c:valAx>
        <c:axId val="114449310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5691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251460</xdr:colOff>
      <xdr:row>6</xdr:row>
      <xdr:rowOff>41910</xdr:rowOff>
    </xdr:from>
    <xdr:to>
      <xdr:col>11</xdr:col>
      <xdr:colOff>556260</xdr:colOff>
      <xdr:row>21</xdr:row>
      <xdr:rowOff>41910</xdr:rowOff>
    </xdr:to>
    <xdr:graphicFrame macro="">
      <xdr:nvGraphicFramePr>
        <xdr:cNvPr id="2" name="Chart 1">
          <a:extLst>
            <a:ext uri="{FF2B5EF4-FFF2-40B4-BE49-F238E27FC236}">
              <a16:creationId xmlns:a16="http://schemas.microsoft.com/office/drawing/2014/main" id="{8FBBC06A-FB8B-4C7F-39CE-249A805F0B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251460</xdr:colOff>
      <xdr:row>6</xdr:row>
      <xdr:rowOff>41910</xdr:rowOff>
    </xdr:from>
    <xdr:to>
      <xdr:col>11</xdr:col>
      <xdr:colOff>556260</xdr:colOff>
      <xdr:row>21</xdr:row>
      <xdr:rowOff>41910</xdr:rowOff>
    </xdr:to>
    <xdr:graphicFrame macro="">
      <xdr:nvGraphicFramePr>
        <xdr:cNvPr id="2" name="Chart 1">
          <a:extLst>
            <a:ext uri="{FF2B5EF4-FFF2-40B4-BE49-F238E27FC236}">
              <a16:creationId xmlns:a16="http://schemas.microsoft.com/office/drawing/2014/main" id="{D52A52A5-2A75-28F3-73A5-A5CB4387F9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251460</xdr:colOff>
      <xdr:row>6</xdr:row>
      <xdr:rowOff>41910</xdr:rowOff>
    </xdr:from>
    <xdr:to>
      <xdr:col>11</xdr:col>
      <xdr:colOff>556260</xdr:colOff>
      <xdr:row>21</xdr:row>
      <xdr:rowOff>41910</xdr:rowOff>
    </xdr:to>
    <xdr:graphicFrame macro="">
      <xdr:nvGraphicFramePr>
        <xdr:cNvPr id="2" name="Chart 1">
          <a:extLst>
            <a:ext uri="{FF2B5EF4-FFF2-40B4-BE49-F238E27FC236}">
              <a16:creationId xmlns:a16="http://schemas.microsoft.com/office/drawing/2014/main" id="{801454AF-8CF1-3782-1AA8-6C1D0BA9AC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251460</xdr:colOff>
      <xdr:row>6</xdr:row>
      <xdr:rowOff>41910</xdr:rowOff>
    </xdr:from>
    <xdr:to>
      <xdr:col>11</xdr:col>
      <xdr:colOff>556260</xdr:colOff>
      <xdr:row>21</xdr:row>
      <xdr:rowOff>41910</xdr:rowOff>
    </xdr:to>
    <xdr:graphicFrame macro="">
      <xdr:nvGraphicFramePr>
        <xdr:cNvPr id="2" name="Chart 1">
          <a:extLst>
            <a:ext uri="{FF2B5EF4-FFF2-40B4-BE49-F238E27FC236}">
              <a16:creationId xmlns:a16="http://schemas.microsoft.com/office/drawing/2014/main" id="{7717A0CB-8723-E92E-3581-FFBC3948DE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103294</xdr:colOff>
      <xdr:row>9</xdr:row>
      <xdr:rowOff>151977</xdr:rowOff>
    </xdr:from>
    <xdr:to>
      <xdr:col>5</xdr:col>
      <xdr:colOff>225214</xdr:colOff>
      <xdr:row>18</xdr:row>
      <xdr:rowOff>209127</xdr:rowOff>
    </xdr:to>
    <xdr:graphicFrame macro="">
      <xdr:nvGraphicFramePr>
        <xdr:cNvPr id="2" name="Chart 1">
          <a:extLst>
            <a:ext uri="{FF2B5EF4-FFF2-40B4-BE49-F238E27FC236}">
              <a16:creationId xmlns:a16="http://schemas.microsoft.com/office/drawing/2014/main" id="{4032FBF1-C57F-4D5A-823B-90958AB13C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137160</xdr:colOff>
      <xdr:row>21</xdr:row>
      <xdr:rowOff>95250</xdr:rowOff>
    </xdr:from>
    <xdr:to>
      <xdr:col>7</xdr:col>
      <xdr:colOff>266700</xdr:colOff>
      <xdr:row>33</xdr:row>
      <xdr:rowOff>83820</xdr:rowOff>
    </xdr:to>
    <xdr:graphicFrame macro="">
      <xdr:nvGraphicFramePr>
        <xdr:cNvPr id="4" name="Chart 3">
          <a:extLst>
            <a:ext uri="{FF2B5EF4-FFF2-40B4-BE49-F238E27FC236}">
              <a16:creationId xmlns:a16="http://schemas.microsoft.com/office/drawing/2014/main" id="{AF63E899-5237-4A7D-8736-A91EED67B2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342900</xdr:colOff>
      <xdr:row>20</xdr:row>
      <xdr:rowOff>171450</xdr:rowOff>
    </xdr:from>
    <xdr:to>
      <xdr:col>15</xdr:col>
      <xdr:colOff>228600</xdr:colOff>
      <xdr:row>31</xdr:row>
      <xdr:rowOff>99060</xdr:rowOff>
    </xdr:to>
    <xdr:graphicFrame macro="">
      <xdr:nvGraphicFramePr>
        <xdr:cNvPr id="5" name="Chart 4">
          <a:extLst>
            <a:ext uri="{FF2B5EF4-FFF2-40B4-BE49-F238E27FC236}">
              <a16:creationId xmlns:a16="http://schemas.microsoft.com/office/drawing/2014/main" id="{7B17C323-38DE-46FB-97A5-021FAFD8AF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7620</xdr:colOff>
      <xdr:row>7</xdr:row>
      <xdr:rowOff>19050</xdr:rowOff>
    </xdr:from>
    <xdr:to>
      <xdr:col>16</xdr:col>
      <xdr:colOff>228600</xdr:colOff>
      <xdr:row>18</xdr:row>
      <xdr:rowOff>144780</xdr:rowOff>
    </xdr:to>
    <xdr:graphicFrame macro="">
      <xdr:nvGraphicFramePr>
        <xdr:cNvPr id="10" name="Chart 9">
          <a:extLst>
            <a:ext uri="{FF2B5EF4-FFF2-40B4-BE49-F238E27FC236}">
              <a16:creationId xmlns:a16="http://schemas.microsoft.com/office/drawing/2014/main" id="{66E8613F-740F-4616-84D8-D4ACABC0C4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19</xdr:col>
      <xdr:colOff>512379</xdr:colOff>
      <xdr:row>7</xdr:row>
      <xdr:rowOff>13138</xdr:rowOff>
    </xdr:from>
    <xdr:to>
      <xdr:col>22</xdr:col>
      <xdr:colOff>512379</xdr:colOff>
      <xdr:row>16</xdr:row>
      <xdr:rowOff>194113</xdr:rowOff>
    </xdr:to>
    <mc:AlternateContent xmlns:mc="http://schemas.openxmlformats.org/markup-compatibility/2006">
      <mc:Choice xmlns:a14="http://schemas.microsoft.com/office/drawing/2010/main" Requires="a14">
        <xdr:graphicFrame macro="">
          <xdr:nvGraphicFramePr>
            <xdr:cNvPr id="11" name="Payment_Method">
              <a:extLst>
                <a:ext uri="{FF2B5EF4-FFF2-40B4-BE49-F238E27FC236}">
                  <a16:creationId xmlns:a16="http://schemas.microsoft.com/office/drawing/2014/main" id="{53B15D03-10FD-47C1-B577-DC90949BAF1C}"/>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dr:sp macro="" textlink="">
          <xdr:nvSpPr>
            <xdr:cNvPr id="0" name=""/>
            <xdr:cNvSpPr>
              <a:spLocks noTextEdit="1"/>
            </xdr:cNvSpPr>
          </xdr:nvSpPr>
          <xdr:spPr>
            <a:xfrm>
              <a:off x="15902774" y="1888059"/>
              <a:ext cx="1834816" cy="24368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0</xdr:colOff>
      <xdr:row>7</xdr:row>
      <xdr:rowOff>0</xdr:rowOff>
    </xdr:from>
    <xdr:to>
      <xdr:col>27</xdr:col>
      <xdr:colOff>0</xdr:colOff>
      <xdr:row>16</xdr:row>
      <xdr:rowOff>180975</xdr:rowOff>
    </xdr:to>
    <mc:AlternateContent xmlns:mc="http://schemas.openxmlformats.org/markup-compatibility/2006">
      <mc:Choice xmlns:a14="http://schemas.microsoft.com/office/drawing/2010/main" Requires="a14">
        <xdr:graphicFrame macro="">
          <xdr:nvGraphicFramePr>
            <xdr:cNvPr id="12" name="City">
              <a:extLst>
                <a:ext uri="{FF2B5EF4-FFF2-40B4-BE49-F238E27FC236}">
                  <a16:creationId xmlns:a16="http://schemas.microsoft.com/office/drawing/2014/main" id="{C308B8C1-3669-42C7-AFA8-1AC17DB56FCD}"/>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18448421" y="1874921"/>
              <a:ext cx="1834816" cy="24368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0</xdr:colOff>
      <xdr:row>7</xdr:row>
      <xdr:rowOff>0</xdr:rowOff>
    </xdr:from>
    <xdr:to>
      <xdr:col>31</xdr:col>
      <xdr:colOff>0</xdr:colOff>
      <xdr:row>16</xdr:row>
      <xdr:rowOff>180975</xdr:rowOff>
    </xdr:to>
    <mc:AlternateContent xmlns:mc="http://schemas.openxmlformats.org/markup-compatibility/2006">
      <mc:Choice xmlns:a14="http://schemas.microsoft.com/office/drawing/2010/main" Requires="a14">
        <xdr:graphicFrame macro="">
          <xdr:nvGraphicFramePr>
            <xdr:cNvPr id="13" name="Category">
              <a:extLst>
                <a:ext uri="{FF2B5EF4-FFF2-40B4-BE49-F238E27FC236}">
                  <a16:creationId xmlns:a16="http://schemas.microsoft.com/office/drawing/2014/main" id="{2869B4C0-0621-4C1B-8272-DA6A3938850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20894842" y="1874921"/>
              <a:ext cx="1834816" cy="24368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ivam kumar rai" refreshedDate="46296.882517592596" createdVersion="8" refreshedVersion="8" minRefreshableVersion="3" recordCount="500" xr:uid="{53445522-5BC0-4D90-8A72-231A95343498}">
  <cacheSource type="worksheet">
    <worksheetSource ref="A1:N501" sheet="Raw_Data"/>
  </cacheSource>
  <cacheFields count="16">
    <cacheField name="Order_ID" numFmtId="0">
      <sharedItems containsSemiMixedTypes="0" containsString="0" containsNumber="1" containsInteger="1" minValue="1001" maxValue="1500"/>
    </cacheField>
    <cacheField name="Order_Date" numFmtId="14">
      <sharedItems containsSemiMixedTypes="0" containsNonDate="0" containsDate="1" containsString="0" minDate="2026-01-01T00:00:00" maxDate="2026-09-30T00:00:00" count="226">
        <d v="2026-02-27T00:00:00"/>
        <d v="2026-02-14T00:00:00"/>
        <d v="2026-01-14T00:00:00"/>
        <d v="2026-08-05T00:00:00"/>
        <d v="2026-07-14T00:00:00"/>
        <d v="2026-03-05T00:00:00"/>
        <d v="2026-01-24T00:00:00"/>
        <d v="2026-07-06T00:00:00"/>
        <d v="2026-03-29T00:00:00"/>
        <d v="2026-04-23T00:00:00"/>
        <d v="2026-04-19T00:00:00"/>
        <d v="2026-03-15T00:00:00"/>
        <d v="2026-08-08T00:00:00"/>
        <d v="2026-02-26T00:00:00"/>
        <d v="2026-08-28T00:00:00"/>
        <d v="2026-09-17T00:00:00"/>
        <d v="2026-03-24T00:00:00"/>
        <d v="2026-07-05T00:00:00"/>
        <d v="2026-02-05T00:00:00"/>
        <d v="2026-08-20T00:00:00"/>
        <d v="2026-04-28T00:00:00"/>
        <d v="2026-01-17T00:00:00"/>
        <d v="2026-03-09T00:00:00"/>
        <d v="2026-02-19T00:00:00"/>
        <d v="2026-02-01T00:00:00"/>
        <d v="2026-08-18T00:00:00"/>
        <d v="2026-02-20T00:00:00"/>
        <d v="2026-09-06T00:00:00"/>
        <d v="2026-05-16T00:00:00"/>
        <d v="2026-06-01T00:00:00"/>
        <d v="2026-09-15T00:00:00"/>
        <d v="2026-02-04T00:00:00"/>
        <d v="2026-08-03T00:00:00"/>
        <d v="2026-07-22T00:00:00"/>
        <d v="2026-02-21T00:00:00"/>
        <d v="2026-05-06T00:00:00"/>
        <d v="2026-01-05T00:00:00"/>
        <d v="2026-03-21T00:00:00"/>
        <d v="2026-05-09T00:00:00"/>
        <d v="2026-05-15T00:00:00"/>
        <d v="2026-03-17T00:00:00"/>
        <d v="2026-05-08T00:00:00"/>
        <d v="2026-04-01T00:00:00"/>
        <d v="2026-02-25T00:00:00"/>
        <d v="2026-04-27T00:00:00"/>
        <d v="2026-06-29T00:00:00"/>
        <d v="2026-09-19T00:00:00"/>
        <d v="2026-04-11T00:00:00"/>
        <d v="2026-06-03T00:00:00"/>
        <d v="2026-04-09T00:00:00"/>
        <d v="2026-01-01T00:00:00"/>
        <d v="2026-08-15T00:00:00"/>
        <d v="2026-06-21T00:00:00"/>
        <d v="2026-09-11T00:00:00"/>
        <d v="2026-08-26T00:00:00"/>
        <d v="2026-03-23T00:00:00"/>
        <d v="2026-05-03T00:00:00"/>
        <d v="2026-02-11T00:00:00"/>
        <d v="2026-02-02T00:00:00"/>
        <d v="2026-08-04T00:00:00"/>
        <d v="2026-06-02T00:00:00"/>
        <d v="2026-01-15T00:00:00"/>
        <d v="2026-04-04T00:00:00"/>
        <d v="2026-01-27T00:00:00"/>
        <d v="2026-01-11T00:00:00"/>
        <d v="2026-08-27T00:00:00"/>
        <d v="2026-02-08T00:00:00"/>
        <d v="2026-03-03T00:00:00"/>
        <d v="2026-06-24T00:00:00"/>
        <d v="2026-03-20T00:00:00"/>
        <d v="2026-05-18T00:00:00"/>
        <d v="2026-05-13T00:00:00"/>
        <d v="2026-07-28T00:00:00"/>
        <d v="2026-02-17T00:00:00"/>
        <d v="2026-09-29T00:00:00"/>
        <d v="2026-09-05T00:00:00"/>
        <d v="2026-04-02T00:00:00"/>
        <d v="2026-03-06T00:00:00"/>
        <d v="2026-02-07T00:00:00"/>
        <d v="2026-03-02T00:00:00"/>
        <d v="2026-07-29T00:00:00"/>
        <d v="2026-08-21T00:00:00"/>
        <d v="2026-04-26T00:00:00"/>
        <d v="2026-05-28T00:00:00"/>
        <d v="2026-09-10T00:00:00"/>
        <d v="2026-09-23T00:00:00"/>
        <d v="2026-06-28T00:00:00"/>
        <d v="2026-03-01T00:00:00"/>
        <d v="2026-06-09T00:00:00"/>
        <d v="2026-08-30T00:00:00"/>
        <d v="2026-08-01T00:00:00"/>
        <d v="2026-09-08T00:00:00"/>
        <d v="2026-04-07T00:00:00"/>
        <d v="2026-08-31T00:00:00"/>
        <d v="2026-06-19T00:00:00"/>
        <d v="2026-06-18T00:00:00"/>
        <d v="2026-05-01T00:00:00"/>
        <d v="2026-03-16T00:00:00"/>
        <d v="2026-02-10T00:00:00"/>
        <d v="2026-05-11T00:00:00"/>
        <d v="2026-06-26T00:00:00"/>
        <d v="2026-01-12T00:00:00"/>
        <d v="2026-05-27T00:00:00"/>
        <d v="2026-03-12T00:00:00"/>
        <d v="2026-07-07T00:00:00"/>
        <d v="2026-02-28T00:00:00"/>
        <d v="2026-02-16T00:00:00"/>
        <d v="2026-07-15T00:00:00"/>
        <d v="2026-06-05T00:00:00"/>
        <d v="2026-07-09T00:00:00"/>
        <d v="2026-09-24T00:00:00"/>
        <d v="2026-09-09T00:00:00"/>
        <d v="2026-05-21T00:00:00"/>
        <d v="2026-08-09T00:00:00"/>
        <d v="2026-06-10T00:00:00"/>
        <d v="2026-08-10T00:00:00"/>
        <d v="2026-06-23T00:00:00"/>
        <d v="2026-01-16T00:00:00"/>
        <d v="2026-03-22T00:00:00"/>
        <d v="2026-05-26T00:00:00"/>
        <d v="2026-01-04T00:00:00"/>
        <d v="2026-09-14T00:00:00"/>
        <d v="2026-08-24T00:00:00"/>
        <d v="2026-07-27T00:00:00"/>
        <d v="2026-02-24T00:00:00"/>
        <d v="2026-04-24T00:00:00"/>
        <d v="2026-04-10T00:00:00"/>
        <d v="2026-03-30T00:00:00"/>
        <d v="2026-09-01T00:00:00"/>
        <d v="2026-09-16T00:00:00"/>
        <d v="2026-05-25T00:00:00"/>
        <d v="2026-02-18T00:00:00"/>
        <d v="2026-03-14T00:00:00"/>
        <d v="2026-07-12T00:00:00"/>
        <d v="2026-06-08T00:00:00"/>
        <d v="2026-02-09T00:00:00"/>
        <d v="2026-08-16T00:00:00"/>
        <d v="2026-09-28T00:00:00"/>
        <d v="2026-07-10T00:00:00"/>
        <d v="2026-09-20T00:00:00"/>
        <d v="2026-01-28T00:00:00"/>
        <d v="2026-03-13T00:00:00"/>
        <d v="2026-05-04T00:00:00"/>
        <d v="2026-08-02T00:00:00"/>
        <d v="2026-07-11T00:00:00"/>
        <d v="2026-06-20T00:00:00"/>
        <d v="2026-09-03T00:00:00"/>
        <d v="2026-04-13T00:00:00"/>
        <d v="2026-04-08T00:00:00"/>
        <d v="2026-07-24T00:00:00"/>
        <d v="2026-05-17T00:00:00"/>
        <d v="2026-06-14T00:00:00"/>
        <d v="2026-03-27T00:00:00"/>
        <d v="2026-08-13T00:00:00"/>
        <d v="2026-04-20T00:00:00"/>
        <d v="2026-05-29T00:00:00"/>
        <d v="2026-03-08T00:00:00"/>
        <d v="2026-09-22T00:00:00"/>
        <d v="2026-06-22T00:00:00"/>
        <d v="2026-03-10T00:00:00"/>
        <d v="2026-09-18T00:00:00"/>
        <d v="2026-06-13T00:00:00"/>
        <d v="2026-06-07T00:00:00"/>
        <d v="2026-07-30T00:00:00"/>
        <d v="2026-06-16T00:00:00"/>
        <d v="2026-07-01T00:00:00"/>
        <d v="2026-05-19T00:00:00"/>
        <d v="2026-03-31T00:00:00"/>
        <d v="2026-01-20T00:00:00"/>
        <d v="2026-09-26T00:00:00"/>
        <d v="2026-08-23T00:00:00"/>
        <d v="2026-09-02T00:00:00"/>
        <d v="2026-05-07T00:00:00"/>
        <d v="2026-01-29T00:00:00"/>
        <d v="2026-08-06T00:00:00"/>
        <d v="2026-07-25T00:00:00"/>
        <d v="2026-05-05T00:00:00"/>
        <d v="2026-05-12T00:00:00"/>
        <d v="2026-01-09T00:00:00"/>
        <d v="2026-07-19T00:00:00"/>
        <d v="2026-04-03T00:00:00"/>
        <d v="2026-07-13T00:00:00"/>
        <d v="2026-07-04T00:00:00"/>
        <d v="2026-04-06T00:00:00"/>
        <d v="2026-02-12T00:00:00"/>
        <d v="2026-05-02T00:00:00"/>
        <d v="2026-03-28T00:00:00"/>
        <d v="2026-03-11T00:00:00"/>
        <d v="2026-07-08T00:00:00"/>
        <d v="2026-07-16T00:00:00"/>
        <d v="2026-07-17T00:00:00"/>
        <d v="2026-06-17T00:00:00"/>
        <d v="2026-01-30T00:00:00"/>
        <d v="2026-06-27T00:00:00"/>
        <d v="2026-04-29T00:00:00"/>
        <d v="2026-05-20T00:00:00"/>
        <d v="2026-03-26T00:00:00"/>
        <d v="2026-01-21T00:00:00"/>
        <d v="2026-02-03T00:00:00"/>
        <d v="2026-08-25T00:00:00"/>
        <d v="2026-04-14T00:00:00"/>
        <d v="2026-06-12T00:00:00"/>
        <d v="2026-05-31T00:00:00"/>
        <d v="2026-01-25T00:00:00"/>
        <d v="2026-07-21T00:00:00"/>
        <d v="2026-05-30T00:00:00"/>
        <d v="2026-01-23T00:00:00"/>
        <d v="2026-03-19T00:00:00"/>
        <d v="2026-07-18T00:00:00"/>
        <d v="2026-05-22T00:00:00"/>
        <d v="2026-03-18T00:00:00"/>
        <d v="2026-01-26T00:00:00"/>
        <d v="2026-03-25T00:00:00"/>
        <d v="2026-04-25T00:00:00"/>
        <d v="2026-05-10T00:00:00"/>
        <d v="2026-09-04T00:00:00"/>
        <d v="2026-01-19T00:00:00"/>
        <d v="2026-02-15T00:00:00"/>
        <d v="2026-08-11T00:00:00"/>
        <d v="2026-06-06T00:00:00"/>
        <d v="2026-07-26T00:00:00"/>
        <d v="2026-06-04T00:00:00"/>
        <d v="2026-05-14T00:00:00"/>
        <d v="2026-09-12T00:00:00"/>
        <d v="2026-06-30T00:00:00"/>
        <d v="2026-09-21T00:00:00"/>
      </sharedItems>
      <fieldGroup par="15"/>
    </cacheField>
    <cacheField name="Customer_ID" numFmtId="0">
      <sharedItems/>
    </cacheField>
    <cacheField name="Product" numFmtId="0">
      <sharedItems count="10">
        <s v="Laptop"/>
        <s v="Keyboard"/>
        <s v="Printer"/>
        <s v="Desk"/>
        <s v="Mobile"/>
        <s v="Notebook"/>
        <s v="Monitor"/>
        <s v="Headphones"/>
        <s v="Office Chair"/>
        <s v="Pen Set"/>
      </sharedItems>
    </cacheField>
    <cacheField name="Category" numFmtId="0">
      <sharedItems count="3">
        <s v="Electronics"/>
        <s v="Furniture"/>
        <s v="Stationery"/>
      </sharedItems>
    </cacheField>
    <cacheField name="Quantity" numFmtId="164">
      <sharedItems containsSemiMixedTypes="0" containsString="0" containsNumber="1" containsInteger="1" minValue="1" maxValue="6"/>
    </cacheField>
    <cacheField name="Unit_Price" numFmtId="0">
      <sharedItems containsSemiMixedTypes="0" containsString="0" containsNumber="1" containsInteger="1" minValue="120" maxValue="55000"/>
    </cacheField>
    <cacheField name="Discount" numFmtId="2">
      <sharedItems containsString="0" containsBlank="1" containsNumber="1" minValue="0" maxValue="0.15"/>
    </cacheField>
    <cacheField name="Sales" numFmtId="1">
      <sharedItems containsSemiMixedTypes="0" containsString="0" containsNumber="1" containsInteger="1" minValue="102" maxValue="330000"/>
    </cacheField>
    <cacheField name="Profit" numFmtId="1">
      <sharedItems containsSemiMixedTypes="0" containsString="0" containsNumber="1" minValue="15.6" maxValue="92400"/>
    </cacheField>
    <cacheField name="City" numFmtId="0">
      <sharedItems count="11">
        <s v="Hyderabad"/>
        <s v="Delhi"/>
        <s v="Patna"/>
        <s v="Bengaluru"/>
        <s v="Lucknow"/>
        <s v="Chandigarh"/>
        <s v="Mumbai"/>
        <s v="Jaipur"/>
        <s v="Unknown"/>
        <s v="Pune"/>
        <s v="Kolkata"/>
      </sharedItems>
    </cacheField>
    <cacheField name="Region" numFmtId="0">
      <sharedItems count="4">
        <s v="South"/>
        <s v="North"/>
        <s v="East"/>
        <s v="West"/>
      </sharedItems>
    </cacheField>
    <cacheField name="Customer_Segment" numFmtId="0">
      <sharedItems/>
    </cacheField>
    <cacheField name="Payment_Method" numFmtId="0">
      <sharedItems count="5">
        <s v="UPI"/>
        <s v="Net Banking"/>
        <s v="Credit Card"/>
        <s v="Cash"/>
        <s v="Debit Card"/>
      </sharedItems>
    </cacheField>
    <cacheField name="Days (Order_Date)" numFmtId="0" databaseField="0">
      <fieldGroup base="1">
        <rangePr groupBy="days" startDate="2026-01-01T00:00:00" endDate="2026-09-30T00:00:00"/>
        <groupItems count="368">
          <s v="&lt;1/1/2026"/>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9/30/2026"/>
        </groupItems>
      </fieldGroup>
    </cacheField>
    <cacheField name="Months (Order_Date)" numFmtId="0" databaseField="0">
      <fieldGroup base="1">
        <rangePr groupBy="months" startDate="2026-01-01T00:00:00" endDate="2026-09-30T00:00:00"/>
        <groupItems count="14">
          <s v="&lt;1/1/2026"/>
          <s v="Jan"/>
          <s v="Feb"/>
          <s v="Mar"/>
          <s v="Apr"/>
          <s v="May"/>
          <s v="Jun"/>
          <s v="Jul"/>
          <s v="Aug"/>
          <s v="Sep"/>
          <s v="Oct"/>
          <s v="Nov"/>
          <s v="Dec"/>
          <s v="&gt;9/30/2026"/>
        </groupItems>
      </fieldGroup>
    </cacheField>
  </cacheFields>
  <extLst>
    <ext xmlns:x14="http://schemas.microsoft.com/office/spreadsheetml/2009/9/main" uri="{725AE2AE-9491-48be-B2B4-4EB974FC3084}">
      <x14:pivotCacheDefinition pivotCacheId="188968665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n v="1001"/>
    <x v="0"/>
    <s v="CUST-1058"/>
    <x v="0"/>
    <x v="0"/>
    <n v="6"/>
    <n v="55000"/>
    <n v="0.1"/>
    <n v="297000"/>
    <n v="59400"/>
    <x v="0"/>
    <x v="0"/>
    <s v="Home Office"/>
    <x v="0"/>
  </r>
  <r>
    <n v="1002"/>
    <x v="1"/>
    <s v="CUST-1024"/>
    <x v="1"/>
    <x v="0"/>
    <n v="4"/>
    <n v="1800"/>
    <n v="0"/>
    <n v="7200"/>
    <n v="2016"/>
    <x v="1"/>
    <x v="1"/>
    <s v="Consumer"/>
    <x v="1"/>
  </r>
  <r>
    <n v="1003"/>
    <x v="2"/>
    <s v="CUST-1115"/>
    <x v="2"/>
    <x v="0"/>
    <n v="2"/>
    <n v="16000"/>
    <n v="0.15"/>
    <n v="27200"/>
    <n v="4160"/>
    <x v="0"/>
    <x v="0"/>
    <s v="Consumer"/>
    <x v="2"/>
  </r>
  <r>
    <n v="1004"/>
    <x v="3"/>
    <s v="CUST-1196"/>
    <x v="3"/>
    <x v="1"/>
    <n v="3"/>
    <n v="12000"/>
    <n v="0.05"/>
    <n v="34200"/>
    <n v="8280"/>
    <x v="0"/>
    <x v="0"/>
    <s v="Consumer"/>
    <x v="0"/>
  </r>
  <r>
    <n v="1005"/>
    <x v="4"/>
    <s v="CUST-1068"/>
    <x v="4"/>
    <x v="0"/>
    <n v="3"/>
    <n v="22000"/>
    <n v="0.1"/>
    <n v="59400"/>
    <n v="11880"/>
    <x v="2"/>
    <x v="2"/>
    <s v="Home Office"/>
    <x v="3"/>
  </r>
  <r>
    <n v="1006"/>
    <x v="5"/>
    <s v="CUST-1093"/>
    <x v="5"/>
    <x v="2"/>
    <n v="1"/>
    <n v="120"/>
    <n v="0.1"/>
    <n v="108"/>
    <n v="21.6"/>
    <x v="2"/>
    <x v="2"/>
    <s v="Home Office"/>
    <x v="0"/>
  </r>
  <r>
    <n v="1007"/>
    <x v="6"/>
    <s v="CUST-1026"/>
    <x v="6"/>
    <x v="0"/>
    <n v="3"/>
    <n v="14000"/>
    <n v="0"/>
    <n v="42000"/>
    <n v="11760"/>
    <x v="0"/>
    <x v="0"/>
    <s v="Corporate"/>
    <x v="3"/>
  </r>
  <r>
    <n v="1008"/>
    <x v="7"/>
    <s v="CUST-1172"/>
    <x v="7"/>
    <x v="0"/>
    <n v="3"/>
    <n v="2500"/>
    <n v="0.1"/>
    <n v="6750"/>
    <n v="1350"/>
    <x v="0"/>
    <x v="0"/>
    <s v="Home Office"/>
    <x v="0"/>
  </r>
  <r>
    <n v="1009"/>
    <x v="8"/>
    <s v="CUST-1119"/>
    <x v="2"/>
    <x v="0"/>
    <n v="6"/>
    <n v="16000"/>
    <n v="0.05"/>
    <n v="91200"/>
    <n v="22080"/>
    <x v="3"/>
    <x v="0"/>
    <s v="Corporate"/>
    <x v="1"/>
  </r>
  <r>
    <n v="1010"/>
    <x v="9"/>
    <s v="CUST-1081"/>
    <x v="3"/>
    <x v="1"/>
    <n v="1"/>
    <n v="12000"/>
    <n v="0.05"/>
    <n v="11400"/>
    <n v="2760"/>
    <x v="1"/>
    <x v="1"/>
    <s v="Corporate"/>
    <x v="0"/>
  </r>
  <r>
    <n v="1011"/>
    <x v="10"/>
    <s v="CUST-1168"/>
    <x v="1"/>
    <x v="0"/>
    <n v="6"/>
    <n v="1800"/>
    <n v="0.1"/>
    <n v="9720"/>
    <n v="1944"/>
    <x v="0"/>
    <x v="0"/>
    <s v="Corporate"/>
    <x v="3"/>
  </r>
  <r>
    <n v="1012"/>
    <x v="11"/>
    <s v="CUST-1138"/>
    <x v="8"/>
    <x v="1"/>
    <n v="2"/>
    <n v="9000"/>
    <n v="0.05"/>
    <n v="17100"/>
    <n v="4140"/>
    <x v="4"/>
    <x v="1"/>
    <s v="Home Office"/>
    <x v="1"/>
  </r>
  <r>
    <n v="1013"/>
    <x v="12"/>
    <s v="CUST-1036"/>
    <x v="1"/>
    <x v="0"/>
    <n v="4"/>
    <n v="1800"/>
    <n v="0.1"/>
    <n v="6480"/>
    <n v="1296"/>
    <x v="0"/>
    <x v="0"/>
    <s v="Consumer"/>
    <x v="0"/>
  </r>
  <r>
    <n v="1014"/>
    <x v="13"/>
    <s v="CUST-1153"/>
    <x v="7"/>
    <x v="0"/>
    <n v="6"/>
    <n v="2500"/>
    <n v="0.05"/>
    <n v="14250"/>
    <n v="3450"/>
    <x v="5"/>
    <x v="1"/>
    <s v="Corporate"/>
    <x v="3"/>
  </r>
  <r>
    <n v="1015"/>
    <x v="14"/>
    <s v="CUST-1175"/>
    <x v="2"/>
    <x v="0"/>
    <n v="3"/>
    <n v="16000"/>
    <n v="0"/>
    <n v="48000"/>
    <n v="13440"/>
    <x v="6"/>
    <x v="3"/>
    <s v="Home Office"/>
    <x v="4"/>
  </r>
  <r>
    <n v="1016"/>
    <x v="0"/>
    <s v="CUST-1001"/>
    <x v="8"/>
    <x v="1"/>
    <n v="4"/>
    <n v="9000"/>
    <n v="0.05"/>
    <n v="34200"/>
    <n v="8280"/>
    <x v="7"/>
    <x v="1"/>
    <s v="Home Office"/>
    <x v="2"/>
  </r>
  <r>
    <n v="1017"/>
    <x v="15"/>
    <s v="CUST-1156"/>
    <x v="4"/>
    <x v="0"/>
    <n v="6"/>
    <n v="22000"/>
    <n v="0.1"/>
    <n v="118800"/>
    <n v="23760"/>
    <x v="4"/>
    <x v="1"/>
    <s v="Consumer"/>
    <x v="4"/>
  </r>
  <r>
    <n v="1018"/>
    <x v="16"/>
    <s v="CUST-1083"/>
    <x v="2"/>
    <x v="0"/>
    <n v="5"/>
    <n v="16000"/>
    <n v="0"/>
    <n v="80000"/>
    <n v="22400"/>
    <x v="8"/>
    <x v="2"/>
    <s v="Consumer"/>
    <x v="0"/>
  </r>
  <r>
    <n v="1019"/>
    <x v="17"/>
    <s v="CUST-1146"/>
    <x v="8"/>
    <x v="1"/>
    <n v="2"/>
    <n v="9000"/>
    <n v="0"/>
    <n v="18000"/>
    <n v="5040"/>
    <x v="0"/>
    <x v="0"/>
    <s v="Consumer"/>
    <x v="3"/>
  </r>
  <r>
    <n v="1020"/>
    <x v="18"/>
    <s v="CUST-1141"/>
    <x v="2"/>
    <x v="0"/>
    <n v="2"/>
    <n v="16000"/>
    <n v="0.05"/>
    <n v="30400"/>
    <n v="7360"/>
    <x v="7"/>
    <x v="1"/>
    <s v="Corporate"/>
    <x v="1"/>
  </r>
  <r>
    <n v="1021"/>
    <x v="3"/>
    <s v="CUST-1103"/>
    <x v="6"/>
    <x v="0"/>
    <n v="5"/>
    <n v="14000"/>
    <n v="0.05"/>
    <n v="66500"/>
    <n v="16100"/>
    <x v="9"/>
    <x v="3"/>
    <s v="Corporate"/>
    <x v="1"/>
  </r>
  <r>
    <n v="1022"/>
    <x v="19"/>
    <s v="CUST-1087"/>
    <x v="4"/>
    <x v="0"/>
    <n v="2"/>
    <n v="22000"/>
    <n v="0.05"/>
    <n v="41800"/>
    <n v="10120"/>
    <x v="6"/>
    <x v="3"/>
    <s v="Home Office"/>
    <x v="1"/>
  </r>
  <r>
    <n v="1023"/>
    <x v="20"/>
    <s v="CUST-1182"/>
    <x v="1"/>
    <x v="0"/>
    <n v="2"/>
    <n v="1800"/>
    <n v="0"/>
    <n v="3600"/>
    <n v="1008"/>
    <x v="6"/>
    <x v="3"/>
    <s v="Consumer"/>
    <x v="0"/>
  </r>
  <r>
    <n v="1024"/>
    <x v="21"/>
    <s v="CUST-1172"/>
    <x v="3"/>
    <x v="1"/>
    <n v="1"/>
    <n v="12000"/>
    <n v="0.05"/>
    <n v="11400"/>
    <n v="2760"/>
    <x v="9"/>
    <x v="3"/>
    <s v="Consumer"/>
    <x v="1"/>
  </r>
  <r>
    <n v="1025"/>
    <x v="22"/>
    <s v="CUST-1122"/>
    <x v="1"/>
    <x v="0"/>
    <n v="5"/>
    <n v="1800"/>
    <n v="0.15"/>
    <n v="7650"/>
    <n v="1170"/>
    <x v="0"/>
    <x v="0"/>
    <s v="Consumer"/>
    <x v="0"/>
  </r>
  <r>
    <n v="1026"/>
    <x v="23"/>
    <s v="CUST-1120"/>
    <x v="5"/>
    <x v="2"/>
    <n v="3"/>
    <n v="120"/>
    <n v="0.15"/>
    <n v="306"/>
    <n v="46.8"/>
    <x v="5"/>
    <x v="1"/>
    <s v="Home Office"/>
    <x v="0"/>
  </r>
  <r>
    <n v="1027"/>
    <x v="24"/>
    <s v="CUST-1064"/>
    <x v="5"/>
    <x v="2"/>
    <n v="6"/>
    <n v="120"/>
    <n v="0.1"/>
    <n v="648"/>
    <n v="129.6"/>
    <x v="6"/>
    <x v="3"/>
    <s v="Consumer"/>
    <x v="1"/>
  </r>
  <r>
    <n v="1028"/>
    <x v="25"/>
    <s v="CUST-1119"/>
    <x v="7"/>
    <x v="0"/>
    <n v="4"/>
    <n v="2500"/>
    <n v="0.05"/>
    <n v="9500"/>
    <n v="2300"/>
    <x v="9"/>
    <x v="3"/>
    <s v="Consumer"/>
    <x v="3"/>
  </r>
  <r>
    <n v="1029"/>
    <x v="26"/>
    <s v="CUST-1193"/>
    <x v="0"/>
    <x v="0"/>
    <n v="6"/>
    <n v="55000"/>
    <n v="0"/>
    <n v="330000"/>
    <n v="92400"/>
    <x v="6"/>
    <x v="3"/>
    <s v="Consumer"/>
    <x v="3"/>
  </r>
  <r>
    <n v="1030"/>
    <x v="27"/>
    <s v="CUST-1043"/>
    <x v="9"/>
    <x v="2"/>
    <n v="2"/>
    <n v="180"/>
    <n v="0.15"/>
    <n v="306"/>
    <n v="46.8"/>
    <x v="1"/>
    <x v="1"/>
    <s v="Consumer"/>
    <x v="3"/>
  </r>
  <r>
    <n v="1031"/>
    <x v="28"/>
    <s v="CUST-1170"/>
    <x v="9"/>
    <x v="2"/>
    <n v="3"/>
    <n v="180"/>
    <n v="0.15"/>
    <n v="459"/>
    <n v="70.2"/>
    <x v="4"/>
    <x v="1"/>
    <s v="Consumer"/>
    <x v="2"/>
  </r>
  <r>
    <n v="1032"/>
    <x v="29"/>
    <s v="CUST-1015"/>
    <x v="6"/>
    <x v="0"/>
    <n v="1"/>
    <n v="14000"/>
    <n v="0"/>
    <n v="14000"/>
    <n v="3920"/>
    <x v="10"/>
    <x v="2"/>
    <s v="Home Office"/>
    <x v="3"/>
  </r>
  <r>
    <n v="1033"/>
    <x v="30"/>
    <s v="CUST-1021"/>
    <x v="2"/>
    <x v="0"/>
    <n v="2"/>
    <n v="16000"/>
    <n v="0"/>
    <n v="32000"/>
    <n v="8960"/>
    <x v="4"/>
    <x v="1"/>
    <s v="Consumer"/>
    <x v="1"/>
  </r>
  <r>
    <n v="1034"/>
    <x v="31"/>
    <s v="CUST-1064"/>
    <x v="6"/>
    <x v="0"/>
    <n v="4"/>
    <n v="14000"/>
    <n v="0"/>
    <n v="56000"/>
    <n v="15680"/>
    <x v="2"/>
    <x v="2"/>
    <s v="Home Office"/>
    <x v="0"/>
  </r>
  <r>
    <n v="1035"/>
    <x v="32"/>
    <s v="CUST-1053"/>
    <x v="1"/>
    <x v="0"/>
    <n v="5"/>
    <n v="1800"/>
    <n v="0.1"/>
    <n v="8100"/>
    <n v="1620"/>
    <x v="9"/>
    <x v="3"/>
    <s v="Consumer"/>
    <x v="4"/>
  </r>
  <r>
    <n v="1036"/>
    <x v="33"/>
    <s v="CUST-1081"/>
    <x v="7"/>
    <x v="0"/>
    <n v="6"/>
    <n v="2500"/>
    <n v="0.1"/>
    <n v="13500"/>
    <n v="2700"/>
    <x v="7"/>
    <x v="1"/>
    <s v="Consumer"/>
    <x v="3"/>
  </r>
  <r>
    <n v="1037"/>
    <x v="34"/>
    <s v="CUST-1068"/>
    <x v="4"/>
    <x v="0"/>
    <n v="5"/>
    <n v="22000"/>
    <n v="0.05"/>
    <n v="104500"/>
    <n v="25300"/>
    <x v="4"/>
    <x v="1"/>
    <s v="Corporate"/>
    <x v="0"/>
  </r>
  <r>
    <n v="1038"/>
    <x v="35"/>
    <s v="CUST-1140"/>
    <x v="3"/>
    <x v="1"/>
    <n v="3"/>
    <n v="12000"/>
    <n v="0.05"/>
    <n v="34200"/>
    <n v="8280"/>
    <x v="7"/>
    <x v="1"/>
    <s v="Home Office"/>
    <x v="1"/>
  </r>
  <r>
    <n v="1039"/>
    <x v="36"/>
    <s v="CUST-1068"/>
    <x v="2"/>
    <x v="0"/>
    <n v="3"/>
    <n v="16000"/>
    <n v="0"/>
    <n v="48000"/>
    <n v="13440"/>
    <x v="3"/>
    <x v="0"/>
    <s v="Consumer"/>
    <x v="1"/>
  </r>
  <r>
    <n v="1040"/>
    <x v="37"/>
    <s v="CUST-1053"/>
    <x v="8"/>
    <x v="1"/>
    <n v="3"/>
    <n v="9000"/>
    <n v="0.05"/>
    <n v="25650"/>
    <n v="6210"/>
    <x v="10"/>
    <x v="2"/>
    <s v="Home Office"/>
    <x v="3"/>
  </r>
  <r>
    <n v="1041"/>
    <x v="38"/>
    <s v="CUST-1012"/>
    <x v="0"/>
    <x v="0"/>
    <n v="1"/>
    <n v="55000"/>
    <n v="0.15"/>
    <n v="46750"/>
    <n v="7150"/>
    <x v="9"/>
    <x v="3"/>
    <s v="Corporate"/>
    <x v="2"/>
  </r>
  <r>
    <n v="1042"/>
    <x v="39"/>
    <s v="CUST-1181"/>
    <x v="7"/>
    <x v="0"/>
    <n v="6"/>
    <n v="2500"/>
    <n v="0.15"/>
    <n v="12750"/>
    <n v="1950"/>
    <x v="4"/>
    <x v="1"/>
    <s v="Home Office"/>
    <x v="0"/>
  </r>
  <r>
    <n v="1043"/>
    <x v="0"/>
    <s v="CUST-1010"/>
    <x v="4"/>
    <x v="0"/>
    <n v="6"/>
    <n v="22000"/>
    <n v="0.05"/>
    <n v="125400"/>
    <n v="30360"/>
    <x v="4"/>
    <x v="1"/>
    <s v="Home Office"/>
    <x v="1"/>
  </r>
  <r>
    <n v="1044"/>
    <x v="40"/>
    <s v="CUST-1094"/>
    <x v="5"/>
    <x v="2"/>
    <n v="2"/>
    <n v="120"/>
    <n v="0"/>
    <n v="240"/>
    <n v="67.2"/>
    <x v="9"/>
    <x v="3"/>
    <s v="Corporate"/>
    <x v="2"/>
  </r>
  <r>
    <n v="1045"/>
    <x v="41"/>
    <s v="CUST-1192"/>
    <x v="4"/>
    <x v="0"/>
    <n v="3"/>
    <n v="22000"/>
    <n v="0.15"/>
    <n v="56100"/>
    <n v="8580"/>
    <x v="2"/>
    <x v="2"/>
    <s v="Consumer"/>
    <x v="2"/>
  </r>
  <r>
    <n v="1046"/>
    <x v="42"/>
    <s v="CUST-1106"/>
    <x v="5"/>
    <x v="2"/>
    <n v="1"/>
    <n v="120"/>
    <n v="0.05"/>
    <n v="114"/>
    <n v="27.6"/>
    <x v="10"/>
    <x v="2"/>
    <s v="Corporate"/>
    <x v="2"/>
  </r>
  <r>
    <n v="1047"/>
    <x v="43"/>
    <s v="CUST-1052"/>
    <x v="5"/>
    <x v="2"/>
    <n v="1"/>
    <n v="120"/>
    <n v="0.15"/>
    <n v="102"/>
    <n v="15.6"/>
    <x v="0"/>
    <x v="0"/>
    <s v="Corporate"/>
    <x v="4"/>
  </r>
  <r>
    <n v="1048"/>
    <x v="44"/>
    <s v="CUST-1085"/>
    <x v="6"/>
    <x v="0"/>
    <n v="1"/>
    <n v="14000"/>
    <n v="0.05"/>
    <n v="13300"/>
    <n v="3220"/>
    <x v="5"/>
    <x v="1"/>
    <s v="Consumer"/>
    <x v="4"/>
  </r>
  <r>
    <n v="1049"/>
    <x v="45"/>
    <s v="CUST-1030"/>
    <x v="2"/>
    <x v="0"/>
    <n v="4"/>
    <n v="16000"/>
    <n v="0.1"/>
    <n v="57600"/>
    <n v="11520"/>
    <x v="1"/>
    <x v="1"/>
    <s v="Consumer"/>
    <x v="1"/>
  </r>
  <r>
    <n v="1050"/>
    <x v="28"/>
    <s v="CUST-1187"/>
    <x v="0"/>
    <x v="0"/>
    <n v="1"/>
    <n v="55000"/>
    <n v="0.15"/>
    <n v="46750"/>
    <n v="7150"/>
    <x v="10"/>
    <x v="2"/>
    <s v="Corporate"/>
    <x v="1"/>
  </r>
  <r>
    <n v="1051"/>
    <x v="46"/>
    <s v="CUST-1012"/>
    <x v="4"/>
    <x v="0"/>
    <n v="4"/>
    <n v="22000"/>
    <n v="0.05"/>
    <n v="83600"/>
    <n v="20240"/>
    <x v="9"/>
    <x v="3"/>
    <s v="Consumer"/>
    <x v="1"/>
  </r>
  <r>
    <n v="1052"/>
    <x v="47"/>
    <s v="CUST-1160"/>
    <x v="3"/>
    <x v="1"/>
    <n v="4"/>
    <n v="12000"/>
    <n v="0"/>
    <n v="48000"/>
    <n v="13440"/>
    <x v="10"/>
    <x v="2"/>
    <s v="Home Office"/>
    <x v="0"/>
  </r>
  <r>
    <n v="1053"/>
    <x v="48"/>
    <s v="CUST-1104"/>
    <x v="2"/>
    <x v="0"/>
    <n v="3"/>
    <n v="16000"/>
    <n v="0.15"/>
    <n v="40800"/>
    <n v="6240"/>
    <x v="10"/>
    <x v="2"/>
    <s v="Home Office"/>
    <x v="2"/>
  </r>
  <r>
    <n v="1054"/>
    <x v="49"/>
    <s v="CUST-1158"/>
    <x v="5"/>
    <x v="2"/>
    <n v="6"/>
    <n v="120"/>
    <n v="0.15"/>
    <n v="612"/>
    <n v="93.6"/>
    <x v="3"/>
    <x v="0"/>
    <s v="Corporate"/>
    <x v="1"/>
  </r>
  <r>
    <n v="1055"/>
    <x v="50"/>
    <s v="CUST-1149"/>
    <x v="8"/>
    <x v="1"/>
    <n v="3"/>
    <n v="9000"/>
    <n v="0.05"/>
    <n v="25650"/>
    <n v="6210"/>
    <x v="5"/>
    <x v="1"/>
    <s v="Corporate"/>
    <x v="3"/>
  </r>
  <r>
    <n v="1056"/>
    <x v="51"/>
    <s v="CUST-1169"/>
    <x v="6"/>
    <x v="0"/>
    <n v="5"/>
    <n v="14000"/>
    <n v="0.15"/>
    <n v="59500"/>
    <n v="9100"/>
    <x v="3"/>
    <x v="0"/>
    <s v="Corporate"/>
    <x v="1"/>
  </r>
  <r>
    <n v="1057"/>
    <x v="52"/>
    <s v="CUST-1051"/>
    <x v="4"/>
    <x v="0"/>
    <n v="2"/>
    <n v="22000"/>
    <n v="0.1"/>
    <n v="39600"/>
    <n v="7920"/>
    <x v="0"/>
    <x v="0"/>
    <s v="Consumer"/>
    <x v="0"/>
  </r>
  <r>
    <n v="1058"/>
    <x v="35"/>
    <s v="CUST-1107"/>
    <x v="9"/>
    <x v="2"/>
    <n v="5"/>
    <n v="180"/>
    <n v="0"/>
    <n v="900"/>
    <n v="252"/>
    <x v="7"/>
    <x v="1"/>
    <s v="Home Office"/>
    <x v="3"/>
  </r>
  <r>
    <n v="1059"/>
    <x v="53"/>
    <s v="CUST-1193"/>
    <x v="5"/>
    <x v="2"/>
    <n v="2"/>
    <n v="120"/>
    <n v="0.05"/>
    <n v="228"/>
    <n v="55.2"/>
    <x v="1"/>
    <x v="1"/>
    <s v="Corporate"/>
    <x v="2"/>
  </r>
  <r>
    <n v="1060"/>
    <x v="42"/>
    <s v="CUST-1064"/>
    <x v="2"/>
    <x v="0"/>
    <n v="4"/>
    <n v="16000"/>
    <n v="0"/>
    <n v="64000"/>
    <n v="17920"/>
    <x v="4"/>
    <x v="1"/>
    <s v="Corporate"/>
    <x v="2"/>
  </r>
  <r>
    <n v="1061"/>
    <x v="54"/>
    <s v="CUST-1157"/>
    <x v="2"/>
    <x v="0"/>
    <n v="5"/>
    <n v="16000"/>
    <n v="0.1"/>
    <n v="72000"/>
    <n v="14400"/>
    <x v="7"/>
    <x v="1"/>
    <s v="Home Office"/>
    <x v="3"/>
  </r>
  <r>
    <n v="1062"/>
    <x v="55"/>
    <s v="CUST-1164"/>
    <x v="9"/>
    <x v="2"/>
    <n v="4"/>
    <n v="180"/>
    <n v="0.1"/>
    <n v="648"/>
    <n v="129.6"/>
    <x v="0"/>
    <x v="0"/>
    <s v="Home Office"/>
    <x v="3"/>
  </r>
  <r>
    <n v="1063"/>
    <x v="56"/>
    <s v="CUST-1061"/>
    <x v="8"/>
    <x v="1"/>
    <n v="4"/>
    <n v="9000"/>
    <n v="0"/>
    <n v="36000"/>
    <n v="10080"/>
    <x v="9"/>
    <x v="3"/>
    <s v="Corporate"/>
    <x v="4"/>
  </r>
  <r>
    <n v="1064"/>
    <x v="57"/>
    <s v="CUST-1178"/>
    <x v="7"/>
    <x v="0"/>
    <n v="2"/>
    <n v="2500"/>
    <n v="0.05"/>
    <n v="4750"/>
    <n v="1150"/>
    <x v="5"/>
    <x v="1"/>
    <s v="Home Office"/>
    <x v="2"/>
  </r>
  <r>
    <n v="1065"/>
    <x v="58"/>
    <s v="CUST-1120"/>
    <x v="5"/>
    <x v="2"/>
    <n v="4"/>
    <n v="120"/>
    <n v="0.1"/>
    <n v="432"/>
    <n v="86.4"/>
    <x v="4"/>
    <x v="1"/>
    <s v="Consumer"/>
    <x v="2"/>
  </r>
  <r>
    <n v="1066"/>
    <x v="59"/>
    <s v="CUST-1098"/>
    <x v="5"/>
    <x v="2"/>
    <n v="5"/>
    <n v="120"/>
    <n v="0"/>
    <n v="600"/>
    <n v="168"/>
    <x v="2"/>
    <x v="2"/>
    <s v="Consumer"/>
    <x v="4"/>
  </r>
  <r>
    <n v="1067"/>
    <x v="60"/>
    <s v="CUST-1057"/>
    <x v="5"/>
    <x v="2"/>
    <n v="4"/>
    <n v="120"/>
    <n v="0.05"/>
    <n v="456"/>
    <n v="110.4"/>
    <x v="7"/>
    <x v="1"/>
    <s v="Corporate"/>
    <x v="3"/>
  </r>
  <r>
    <n v="1068"/>
    <x v="61"/>
    <s v="CUST-1120"/>
    <x v="5"/>
    <x v="2"/>
    <n v="3"/>
    <n v="120"/>
    <n v="0.15"/>
    <n v="306"/>
    <n v="46.8"/>
    <x v="3"/>
    <x v="0"/>
    <s v="Home Office"/>
    <x v="1"/>
  </r>
  <r>
    <n v="1069"/>
    <x v="2"/>
    <s v="CUST-1165"/>
    <x v="5"/>
    <x v="2"/>
    <n v="5"/>
    <n v="120"/>
    <n v="0"/>
    <n v="600"/>
    <n v="168"/>
    <x v="6"/>
    <x v="3"/>
    <s v="Consumer"/>
    <x v="3"/>
  </r>
  <r>
    <n v="1070"/>
    <x v="62"/>
    <s v="CUST-1055"/>
    <x v="0"/>
    <x v="0"/>
    <n v="3"/>
    <n v="55000"/>
    <n v="0.15"/>
    <n v="140250"/>
    <n v="21450"/>
    <x v="10"/>
    <x v="2"/>
    <s v="Corporate"/>
    <x v="4"/>
  </r>
  <r>
    <n v="1071"/>
    <x v="4"/>
    <s v="CUST-1121"/>
    <x v="8"/>
    <x v="1"/>
    <n v="4"/>
    <n v="9000"/>
    <n v="0.1"/>
    <n v="32400"/>
    <n v="6480"/>
    <x v="6"/>
    <x v="3"/>
    <s v="Home Office"/>
    <x v="1"/>
  </r>
  <r>
    <n v="1072"/>
    <x v="63"/>
    <s v="CUST-1194"/>
    <x v="3"/>
    <x v="1"/>
    <n v="2"/>
    <n v="12000"/>
    <n v="0"/>
    <n v="24000"/>
    <n v="6720"/>
    <x v="1"/>
    <x v="1"/>
    <s v="Consumer"/>
    <x v="2"/>
  </r>
  <r>
    <n v="1073"/>
    <x v="64"/>
    <s v="CUST-1122"/>
    <x v="1"/>
    <x v="0"/>
    <n v="2"/>
    <n v="1800"/>
    <n v="0.05"/>
    <n v="3420"/>
    <n v="828"/>
    <x v="3"/>
    <x v="0"/>
    <s v="Home Office"/>
    <x v="2"/>
  </r>
  <r>
    <n v="1074"/>
    <x v="65"/>
    <s v="CUST-1156"/>
    <x v="8"/>
    <x v="1"/>
    <n v="3"/>
    <n v="9000"/>
    <n v="0.05"/>
    <n v="25650"/>
    <n v="6210"/>
    <x v="2"/>
    <x v="2"/>
    <s v="Consumer"/>
    <x v="4"/>
  </r>
  <r>
    <n v="1075"/>
    <x v="43"/>
    <s v="CUST-1174"/>
    <x v="1"/>
    <x v="0"/>
    <n v="1"/>
    <n v="1800"/>
    <n v="0.1"/>
    <n v="1620"/>
    <n v="324"/>
    <x v="2"/>
    <x v="2"/>
    <s v="Corporate"/>
    <x v="2"/>
  </r>
  <r>
    <n v="1076"/>
    <x v="66"/>
    <s v="CUST-1179"/>
    <x v="1"/>
    <x v="0"/>
    <n v="6"/>
    <n v="1800"/>
    <n v="0.05"/>
    <n v="10260"/>
    <n v="2484"/>
    <x v="6"/>
    <x v="3"/>
    <s v="Home Office"/>
    <x v="1"/>
  </r>
  <r>
    <n v="1077"/>
    <x v="67"/>
    <s v="CUST-1110"/>
    <x v="1"/>
    <x v="0"/>
    <n v="1"/>
    <n v="1800"/>
    <n v="0.1"/>
    <n v="1620"/>
    <n v="324"/>
    <x v="4"/>
    <x v="1"/>
    <s v="Consumer"/>
    <x v="1"/>
  </r>
  <r>
    <n v="1078"/>
    <x v="68"/>
    <s v="CUST-1111"/>
    <x v="0"/>
    <x v="0"/>
    <n v="4"/>
    <n v="55000"/>
    <n v="0.15"/>
    <n v="187000"/>
    <n v="28600"/>
    <x v="6"/>
    <x v="3"/>
    <s v="Home Office"/>
    <x v="3"/>
  </r>
  <r>
    <n v="1079"/>
    <x v="69"/>
    <s v="CUST-1138"/>
    <x v="5"/>
    <x v="2"/>
    <n v="2"/>
    <n v="120"/>
    <n v="0.1"/>
    <n v="216"/>
    <n v="43.2"/>
    <x v="2"/>
    <x v="2"/>
    <s v="Corporate"/>
    <x v="3"/>
  </r>
  <r>
    <n v="1080"/>
    <x v="70"/>
    <s v="CUST-1116"/>
    <x v="3"/>
    <x v="1"/>
    <n v="2"/>
    <n v="12000"/>
    <n v="0"/>
    <n v="24000"/>
    <n v="6720"/>
    <x v="9"/>
    <x v="3"/>
    <s v="Corporate"/>
    <x v="1"/>
  </r>
  <r>
    <n v="1081"/>
    <x v="4"/>
    <s v="CUST-1047"/>
    <x v="3"/>
    <x v="1"/>
    <n v="1"/>
    <n v="12000"/>
    <n v="0.15"/>
    <n v="10200"/>
    <n v="1560"/>
    <x v="10"/>
    <x v="2"/>
    <s v="Consumer"/>
    <x v="4"/>
  </r>
  <r>
    <n v="1082"/>
    <x v="71"/>
    <s v="CUST-1003"/>
    <x v="3"/>
    <x v="1"/>
    <n v="3"/>
    <n v="12000"/>
    <n v="0.1"/>
    <n v="32400"/>
    <n v="6480"/>
    <x v="4"/>
    <x v="1"/>
    <s v="Consumer"/>
    <x v="2"/>
  </r>
  <r>
    <n v="1083"/>
    <x v="72"/>
    <s v="CUST-1166"/>
    <x v="9"/>
    <x v="2"/>
    <n v="5"/>
    <n v="180"/>
    <n v="0.05"/>
    <n v="855"/>
    <n v="207"/>
    <x v="7"/>
    <x v="1"/>
    <s v="Corporate"/>
    <x v="0"/>
  </r>
  <r>
    <n v="1084"/>
    <x v="73"/>
    <s v="CUST-1079"/>
    <x v="8"/>
    <x v="1"/>
    <n v="2"/>
    <n v="9000"/>
    <n v="0.15"/>
    <n v="15300"/>
    <n v="2340"/>
    <x v="0"/>
    <x v="0"/>
    <s v="Corporate"/>
    <x v="1"/>
  </r>
  <r>
    <n v="1085"/>
    <x v="74"/>
    <s v="CUST-1180"/>
    <x v="3"/>
    <x v="1"/>
    <n v="4"/>
    <n v="12000"/>
    <n v="0.1"/>
    <n v="43200"/>
    <n v="8640"/>
    <x v="10"/>
    <x v="2"/>
    <s v="Corporate"/>
    <x v="4"/>
  </r>
  <r>
    <n v="1086"/>
    <x v="38"/>
    <s v="CUST-1031"/>
    <x v="6"/>
    <x v="0"/>
    <n v="1"/>
    <n v="14000"/>
    <n v="0.05"/>
    <n v="13300"/>
    <n v="3220"/>
    <x v="10"/>
    <x v="2"/>
    <s v="Consumer"/>
    <x v="2"/>
  </r>
  <r>
    <n v="1087"/>
    <x v="75"/>
    <s v="unknown"/>
    <x v="8"/>
    <x v="1"/>
    <n v="6"/>
    <n v="9000"/>
    <n v="0.1"/>
    <n v="48600"/>
    <n v="9720"/>
    <x v="6"/>
    <x v="3"/>
    <s v="Consumer"/>
    <x v="4"/>
  </r>
  <r>
    <n v="1088"/>
    <x v="76"/>
    <s v="CUST-1012"/>
    <x v="8"/>
    <x v="1"/>
    <n v="1"/>
    <n v="9000"/>
    <n v="0.05"/>
    <n v="8550"/>
    <n v="2070"/>
    <x v="9"/>
    <x v="3"/>
    <s v="Home Office"/>
    <x v="4"/>
  </r>
  <r>
    <n v="1089"/>
    <x v="77"/>
    <s v="CUST-1073"/>
    <x v="9"/>
    <x v="2"/>
    <n v="1"/>
    <n v="180"/>
    <n v="0"/>
    <n v="180"/>
    <n v="50.4"/>
    <x v="2"/>
    <x v="2"/>
    <s v="Corporate"/>
    <x v="3"/>
  </r>
  <r>
    <n v="1090"/>
    <x v="68"/>
    <s v="CUST-1030"/>
    <x v="7"/>
    <x v="0"/>
    <n v="1"/>
    <n v="2500"/>
    <n v="0.1"/>
    <n v="2250"/>
    <n v="450"/>
    <x v="7"/>
    <x v="1"/>
    <s v="Corporate"/>
    <x v="3"/>
  </r>
  <r>
    <n v="1091"/>
    <x v="78"/>
    <s v="CUST-1039"/>
    <x v="1"/>
    <x v="0"/>
    <n v="6"/>
    <n v="1800"/>
    <n v="0"/>
    <n v="10800"/>
    <n v="3024"/>
    <x v="3"/>
    <x v="0"/>
    <s v="Consumer"/>
    <x v="2"/>
  </r>
  <r>
    <n v="1092"/>
    <x v="79"/>
    <s v="CUST-1098"/>
    <x v="2"/>
    <x v="0"/>
    <n v="4"/>
    <n v="16000"/>
    <n v="0.05"/>
    <n v="60800"/>
    <n v="14720"/>
    <x v="4"/>
    <x v="1"/>
    <s v="Corporate"/>
    <x v="4"/>
  </r>
  <r>
    <n v="1093"/>
    <x v="12"/>
    <s v="CUST-1190"/>
    <x v="8"/>
    <x v="1"/>
    <n v="5"/>
    <n v="9000"/>
    <n v="0"/>
    <n v="45000"/>
    <n v="12600"/>
    <x v="2"/>
    <x v="2"/>
    <s v="Consumer"/>
    <x v="2"/>
  </r>
  <r>
    <n v="1094"/>
    <x v="28"/>
    <s v="CUST-1142"/>
    <x v="4"/>
    <x v="0"/>
    <n v="2"/>
    <n v="22000"/>
    <n v="0.05"/>
    <n v="41800"/>
    <n v="10120"/>
    <x v="3"/>
    <x v="0"/>
    <s v="Consumer"/>
    <x v="0"/>
  </r>
  <r>
    <n v="1095"/>
    <x v="80"/>
    <s v="CUST-1009"/>
    <x v="9"/>
    <x v="2"/>
    <n v="6"/>
    <n v="180"/>
    <n v="0.15"/>
    <n v="918"/>
    <n v="140.4"/>
    <x v="9"/>
    <x v="3"/>
    <s v="Corporate"/>
    <x v="4"/>
  </r>
  <r>
    <n v="1096"/>
    <x v="81"/>
    <s v="CUST-1161"/>
    <x v="4"/>
    <x v="0"/>
    <n v="6"/>
    <n v="22000"/>
    <n v="0.05"/>
    <n v="125400"/>
    <n v="30360"/>
    <x v="9"/>
    <x v="3"/>
    <s v="Corporate"/>
    <x v="0"/>
  </r>
  <r>
    <n v="1097"/>
    <x v="82"/>
    <s v="CUST-1016"/>
    <x v="7"/>
    <x v="0"/>
    <n v="3"/>
    <n v="2500"/>
    <n v="0.05"/>
    <n v="7125"/>
    <n v="1725"/>
    <x v="6"/>
    <x v="3"/>
    <s v="Corporate"/>
    <x v="1"/>
  </r>
  <r>
    <n v="1098"/>
    <x v="83"/>
    <s v="CUST-1180"/>
    <x v="9"/>
    <x v="2"/>
    <n v="1"/>
    <n v="180"/>
    <n v="0.15"/>
    <n v="153"/>
    <n v="23.4"/>
    <x v="9"/>
    <x v="3"/>
    <s v="Corporate"/>
    <x v="1"/>
  </r>
  <r>
    <n v="1099"/>
    <x v="84"/>
    <s v="CUST-1189"/>
    <x v="9"/>
    <x v="2"/>
    <n v="1"/>
    <n v="180"/>
    <n v="0"/>
    <n v="180"/>
    <n v="50.4"/>
    <x v="5"/>
    <x v="1"/>
    <s v="Home Office"/>
    <x v="4"/>
  </r>
  <r>
    <n v="1100"/>
    <x v="2"/>
    <s v="CUST-1148"/>
    <x v="4"/>
    <x v="0"/>
    <n v="2"/>
    <n v="22000"/>
    <n v="0"/>
    <n v="44000"/>
    <n v="12320"/>
    <x v="9"/>
    <x v="3"/>
    <s v="Consumer"/>
    <x v="3"/>
  </r>
  <r>
    <n v="1101"/>
    <x v="85"/>
    <s v="CUST-1112"/>
    <x v="9"/>
    <x v="2"/>
    <n v="3"/>
    <n v="180"/>
    <n v="0.05"/>
    <n v="513"/>
    <n v="124.2"/>
    <x v="2"/>
    <x v="2"/>
    <s v="Consumer"/>
    <x v="3"/>
  </r>
  <r>
    <n v="1102"/>
    <x v="86"/>
    <s v="CUST-1042"/>
    <x v="5"/>
    <x v="2"/>
    <n v="3"/>
    <n v="120"/>
    <n v="0.1"/>
    <n v="324"/>
    <n v="64.8"/>
    <x v="6"/>
    <x v="3"/>
    <s v="Corporate"/>
    <x v="3"/>
  </r>
  <r>
    <n v="1103"/>
    <x v="83"/>
    <s v="CUST-1023"/>
    <x v="5"/>
    <x v="2"/>
    <n v="5"/>
    <n v="120"/>
    <n v="0"/>
    <n v="600"/>
    <n v="168"/>
    <x v="7"/>
    <x v="1"/>
    <s v="Corporate"/>
    <x v="4"/>
  </r>
  <r>
    <n v="1104"/>
    <x v="87"/>
    <s v="CUST-1119"/>
    <x v="5"/>
    <x v="2"/>
    <n v="5"/>
    <n v="120"/>
    <n v="0"/>
    <n v="600"/>
    <n v="168"/>
    <x v="4"/>
    <x v="1"/>
    <s v="Consumer"/>
    <x v="2"/>
  </r>
  <r>
    <n v="1105"/>
    <x v="85"/>
    <s v="CUST-1195"/>
    <x v="3"/>
    <x v="1"/>
    <n v="5"/>
    <n v="12000"/>
    <n v="0.15"/>
    <n v="51000"/>
    <n v="7800"/>
    <x v="7"/>
    <x v="1"/>
    <s v="Consumer"/>
    <x v="4"/>
  </r>
  <r>
    <n v="1106"/>
    <x v="22"/>
    <s v="CUST-1008"/>
    <x v="8"/>
    <x v="1"/>
    <n v="4"/>
    <n v="9000"/>
    <n v="0.15"/>
    <n v="30600"/>
    <n v="4680"/>
    <x v="6"/>
    <x v="3"/>
    <s v="Home Office"/>
    <x v="2"/>
  </r>
  <r>
    <n v="1107"/>
    <x v="88"/>
    <s v="CUST-1058"/>
    <x v="2"/>
    <x v="0"/>
    <n v="1"/>
    <n v="16000"/>
    <n v="0.15"/>
    <n v="13600"/>
    <n v="2080"/>
    <x v="6"/>
    <x v="3"/>
    <s v="Corporate"/>
    <x v="0"/>
  </r>
  <r>
    <n v="1108"/>
    <x v="69"/>
    <s v="CUST-1181"/>
    <x v="9"/>
    <x v="2"/>
    <n v="6"/>
    <n v="180"/>
    <n v="0.1"/>
    <n v="972"/>
    <n v="194.4"/>
    <x v="4"/>
    <x v="1"/>
    <s v="Corporate"/>
    <x v="3"/>
  </r>
  <r>
    <n v="1109"/>
    <x v="89"/>
    <s v="CUST-1049"/>
    <x v="6"/>
    <x v="0"/>
    <n v="4"/>
    <n v="14000"/>
    <n v="0.05"/>
    <n v="53200"/>
    <n v="12880"/>
    <x v="5"/>
    <x v="1"/>
    <s v="Consumer"/>
    <x v="4"/>
  </r>
  <r>
    <n v="1110"/>
    <x v="90"/>
    <s v="CUST-1073"/>
    <x v="3"/>
    <x v="1"/>
    <n v="5"/>
    <n v="12000"/>
    <n v="0.1"/>
    <n v="54000"/>
    <n v="10800"/>
    <x v="1"/>
    <x v="1"/>
    <s v="Home Office"/>
    <x v="1"/>
  </r>
  <r>
    <n v="1111"/>
    <x v="91"/>
    <s v="CUST-1086"/>
    <x v="7"/>
    <x v="0"/>
    <n v="4"/>
    <n v="2500"/>
    <n v="0.15"/>
    <n v="8500"/>
    <n v="1300"/>
    <x v="10"/>
    <x v="2"/>
    <s v="Corporate"/>
    <x v="4"/>
  </r>
  <r>
    <n v="1112"/>
    <x v="92"/>
    <s v="CUST-1199"/>
    <x v="6"/>
    <x v="0"/>
    <n v="5"/>
    <n v="14000"/>
    <n v="0.15"/>
    <n v="59500"/>
    <n v="9100"/>
    <x v="0"/>
    <x v="0"/>
    <s v="Consumer"/>
    <x v="4"/>
  </r>
  <r>
    <n v="1113"/>
    <x v="93"/>
    <s v="CUST-1010"/>
    <x v="5"/>
    <x v="2"/>
    <n v="4"/>
    <n v="120"/>
    <n v="0.05"/>
    <n v="456"/>
    <n v="110.4"/>
    <x v="7"/>
    <x v="1"/>
    <s v="Home Office"/>
    <x v="1"/>
  </r>
  <r>
    <n v="1114"/>
    <x v="94"/>
    <s v="CUST-1117"/>
    <x v="4"/>
    <x v="0"/>
    <n v="4"/>
    <n v="22000"/>
    <n v="0"/>
    <n v="88000"/>
    <n v="24640"/>
    <x v="4"/>
    <x v="1"/>
    <s v="Home Office"/>
    <x v="2"/>
  </r>
  <r>
    <n v="1115"/>
    <x v="80"/>
    <s v="CUST-1087"/>
    <x v="7"/>
    <x v="0"/>
    <n v="1"/>
    <n v="2500"/>
    <n v="0.15"/>
    <n v="2125"/>
    <n v="325"/>
    <x v="9"/>
    <x v="3"/>
    <s v="Home Office"/>
    <x v="0"/>
  </r>
  <r>
    <n v="1116"/>
    <x v="95"/>
    <s v="CUST-1139"/>
    <x v="2"/>
    <x v="0"/>
    <n v="4"/>
    <n v="16000"/>
    <n v="0.1"/>
    <n v="57600"/>
    <n v="11520"/>
    <x v="7"/>
    <x v="1"/>
    <s v="Home Office"/>
    <x v="0"/>
  </r>
  <r>
    <n v="1117"/>
    <x v="96"/>
    <s v="CUST-1026"/>
    <x v="8"/>
    <x v="1"/>
    <n v="2"/>
    <n v="9000"/>
    <n v="0"/>
    <n v="18000"/>
    <n v="5040"/>
    <x v="5"/>
    <x v="1"/>
    <s v="Corporate"/>
    <x v="2"/>
  </r>
  <r>
    <n v="1118"/>
    <x v="48"/>
    <s v="CUST-1076"/>
    <x v="0"/>
    <x v="0"/>
    <n v="1"/>
    <n v="55000"/>
    <n v="0.1"/>
    <n v="49500"/>
    <n v="9900"/>
    <x v="1"/>
    <x v="1"/>
    <s v="Corporate"/>
    <x v="3"/>
  </r>
  <r>
    <n v="1119"/>
    <x v="97"/>
    <s v="CUST-1175"/>
    <x v="6"/>
    <x v="0"/>
    <n v="5"/>
    <n v="14000"/>
    <n v="0.15"/>
    <n v="59500"/>
    <n v="9100"/>
    <x v="2"/>
    <x v="2"/>
    <s v="Consumer"/>
    <x v="2"/>
  </r>
  <r>
    <n v="1120"/>
    <x v="98"/>
    <s v="CUST-1150"/>
    <x v="1"/>
    <x v="0"/>
    <n v="4"/>
    <n v="1800"/>
    <n v="0.05"/>
    <n v="6840"/>
    <n v="1656"/>
    <x v="7"/>
    <x v="1"/>
    <s v="Consumer"/>
    <x v="3"/>
  </r>
  <r>
    <n v="1121"/>
    <x v="99"/>
    <s v="CUST-1074"/>
    <x v="9"/>
    <x v="2"/>
    <n v="3"/>
    <n v="180"/>
    <n v="0"/>
    <n v="540"/>
    <n v="151.19999999999999"/>
    <x v="7"/>
    <x v="1"/>
    <s v="Consumer"/>
    <x v="3"/>
  </r>
  <r>
    <n v="1122"/>
    <x v="100"/>
    <s v="CUST-1117"/>
    <x v="1"/>
    <x v="0"/>
    <n v="3"/>
    <n v="1800"/>
    <n v="0.15"/>
    <n v="4590"/>
    <n v="702"/>
    <x v="9"/>
    <x v="3"/>
    <s v="Consumer"/>
    <x v="3"/>
  </r>
  <r>
    <n v="1123"/>
    <x v="75"/>
    <s v="CUST-1092"/>
    <x v="4"/>
    <x v="0"/>
    <n v="2"/>
    <n v="22000"/>
    <n v="0.15"/>
    <n v="37400"/>
    <n v="5720"/>
    <x v="2"/>
    <x v="2"/>
    <s v="Home Office"/>
    <x v="4"/>
  </r>
  <r>
    <n v="1124"/>
    <x v="101"/>
    <s v="CUST-1176"/>
    <x v="5"/>
    <x v="2"/>
    <n v="3"/>
    <n v="120"/>
    <n v="0"/>
    <n v="360"/>
    <n v="100.8"/>
    <x v="2"/>
    <x v="2"/>
    <s v="Home Office"/>
    <x v="3"/>
  </r>
  <r>
    <n v="1125"/>
    <x v="102"/>
    <s v="CUST-1163"/>
    <x v="6"/>
    <x v="0"/>
    <n v="5"/>
    <n v="14000"/>
    <n v="0.1"/>
    <n v="63000"/>
    <n v="12600"/>
    <x v="0"/>
    <x v="0"/>
    <s v="Home Office"/>
    <x v="4"/>
  </r>
  <r>
    <n v="1126"/>
    <x v="103"/>
    <s v="CUST-1113"/>
    <x v="4"/>
    <x v="0"/>
    <n v="6"/>
    <n v="22000"/>
    <n v="0"/>
    <n v="132000"/>
    <n v="36960"/>
    <x v="9"/>
    <x v="3"/>
    <s v="Home Office"/>
    <x v="4"/>
  </r>
  <r>
    <n v="1127"/>
    <x v="22"/>
    <s v="CUST-1045"/>
    <x v="4"/>
    <x v="0"/>
    <n v="3"/>
    <n v="22000"/>
    <n v="0.1"/>
    <n v="59400"/>
    <n v="11880"/>
    <x v="5"/>
    <x v="1"/>
    <s v="Consumer"/>
    <x v="1"/>
  </r>
  <r>
    <n v="1128"/>
    <x v="104"/>
    <s v="CUST-1066"/>
    <x v="2"/>
    <x v="0"/>
    <n v="5"/>
    <n v="16000"/>
    <n v="0.1"/>
    <n v="72000"/>
    <n v="14400"/>
    <x v="3"/>
    <x v="0"/>
    <s v="Corporate"/>
    <x v="4"/>
  </r>
  <r>
    <n v="1129"/>
    <x v="105"/>
    <s v="CUST-1174"/>
    <x v="9"/>
    <x v="2"/>
    <n v="1"/>
    <n v="180"/>
    <n v="0.05"/>
    <n v="171"/>
    <n v="41.4"/>
    <x v="0"/>
    <x v="0"/>
    <s v="Home Office"/>
    <x v="4"/>
  </r>
  <r>
    <n v="1130"/>
    <x v="106"/>
    <s v="CUST-1032"/>
    <x v="5"/>
    <x v="2"/>
    <n v="1"/>
    <n v="120"/>
    <n v="0.1"/>
    <n v="108"/>
    <n v="21.6"/>
    <x v="4"/>
    <x v="1"/>
    <s v="Corporate"/>
    <x v="4"/>
  </r>
  <r>
    <n v="1131"/>
    <x v="107"/>
    <s v="CUST-1007"/>
    <x v="3"/>
    <x v="1"/>
    <n v="1"/>
    <n v="12000"/>
    <n v="0.05"/>
    <n v="11400"/>
    <n v="2760"/>
    <x v="7"/>
    <x v="1"/>
    <s v="Home Office"/>
    <x v="2"/>
  </r>
  <r>
    <n v="1132"/>
    <x v="58"/>
    <s v="CUST-1030"/>
    <x v="9"/>
    <x v="2"/>
    <n v="6"/>
    <n v="180"/>
    <n v="0.1"/>
    <n v="972"/>
    <n v="194.4"/>
    <x v="5"/>
    <x v="1"/>
    <s v="Consumer"/>
    <x v="0"/>
  </r>
  <r>
    <n v="1133"/>
    <x v="108"/>
    <s v="CUST-1138"/>
    <x v="9"/>
    <x v="2"/>
    <n v="1"/>
    <n v="180"/>
    <n v="0"/>
    <n v="180"/>
    <n v="50.4"/>
    <x v="0"/>
    <x v="0"/>
    <s v="Corporate"/>
    <x v="3"/>
  </r>
  <r>
    <n v="1134"/>
    <x v="109"/>
    <s v="CUST-1168"/>
    <x v="2"/>
    <x v="0"/>
    <n v="4"/>
    <n v="16000"/>
    <n v="0.05"/>
    <n v="60800"/>
    <n v="14720"/>
    <x v="5"/>
    <x v="1"/>
    <s v="Corporate"/>
    <x v="1"/>
  </r>
  <r>
    <n v="1135"/>
    <x v="72"/>
    <s v="CUST-1114"/>
    <x v="8"/>
    <x v="1"/>
    <n v="1"/>
    <n v="9000"/>
    <n v="0.1"/>
    <n v="8100"/>
    <n v="1620"/>
    <x v="0"/>
    <x v="0"/>
    <s v="Consumer"/>
    <x v="4"/>
  </r>
  <r>
    <n v="1136"/>
    <x v="26"/>
    <s v="CUST-1102"/>
    <x v="3"/>
    <x v="1"/>
    <n v="5"/>
    <n v="12000"/>
    <n v="0.1"/>
    <n v="54000"/>
    <n v="10800"/>
    <x v="1"/>
    <x v="1"/>
    <s v="Consumer"/>
    <x v="0"/>
  </r>
  <r>
    <n v="1137"/>
    <x v="81"/>
    <s v="CUST-1006"/>
    <x v="4"/>
    <x v="0"/>
    <n v="6"/>
    <n v="22000"/>
    <n v="0.05"/>
    <n v="125400"/>
    <n v="30360"/>
    <x v="2"/>
    <x v="2"/>
    <s v="Corporate"/>
    <x v="2"/>
  </r>
  <r>
    <n v="1138"/>
    <x v="77"/>
    <s v="CUST-1054"/>
    <x v="1"/>
    <x v="0"/>
    <n v="2"/>
    <n v="1800"/>
    <n v="0"/>
    <n v="3600"/>
    <n v="1008"/>
    <x v="4"/>
    <x v="1"/>
    <s v="Consumer"/>
    <x v="4"/>
  </r>
  <r>
    <n v="1139"/>
    <x v="40"/>
    <s v="CUST-1034"/>
    <x v="1"/>
    <x v="0"/>
    <n v="1"/>
    <n v="1800"/>
    <n v="0.1"/>
    <n v="1620"/>
    <n v="324"/>
    <x v="3"/>
    <x v="0"/>
    <s v="Consumer"/>
    <x v="0"/>
  </r>
  <r>
    <n v="1140"/>
    <x v="2"/>
    <s v="CUST-1151"/>
    <x v="7"/>
    <x v="0"/>
    <n v="1"/>
    <n v="2500"/>
    <n v="0.1"/>
    <n v="2250"/>
    <n v="450"/>
    <x v="0"/>
    <x v="0"/>
    <s v="Consumer"/>
    <x v="2"/>
  </r>
  <r>
    <n v="1141"/>
    <x v="28"/>
    <s v="CUST-1030"/>
    <x v="0"/>
    <x v="0"/>
    <n v="2"/>
    <n v="55000"/>
    <n v="0.15"/>
    <n v="93500"/>
    <n v="14300"/>
    <x v="4"/>
    <x v="1"/>
    <s v="Corporate"/>
    <x v="3"/>
  </r>
  <r>
    <n v="1142"/>
    <x v="17"/>
    <s v="CUST-1129"/>
    <x v="2"/>
    <x v="0"/>
    <n v="5"/>
    <n v="16000"/>
    <n v="0"/>
    <n v="80000"/>
    <n v="22400"/>
    <x v="7"/>
    <x v="1"/>
    <s v="Home Office"/>
    <x v="0"/>
  </r>
  <r>
    <n v="1143"/>
    <x v="110"/>
    <s v="CUST-1123"/>
    <x v="8"/>
    <x v="1"/>
    <n v="4"/>
    <n v="9000"/>
    <n v="0"/>
    <n v="36000"/>
    <n v="10080"/>
    <x v="1"/>
    <x v="1"/>
    <s v="Corporate"/>
    <x v="0"/>
  </r>
  <r>
    <n v="1144"/>
    <x v="111"/>
    <s v="CUST-1156"/>
    <x v="9"/>
    <x v="2"/>
    <n v="1"/>
    <n v="180"/>
    <n v="0"/>
    <n v="180"/>
    <n v="50.4"/>
    <x v="10"/>
    <x v="2"/>
    <s v="Consumer"/>
    <x v="2"/>
  </r>
  <r>
    <n v="1145"/>
    <x v="112"/>
    <s v="CUST-1153"/>
    <x v="1"/>
    <x v="0"/>
    <n v="6"/>
    <n v="1800"/>
    <n v="0.1"/>
    <n v="9720"/>
    <n v="1944"/>
    <x v="5"/>
    <x v="1"/>
    <s v="Corporate"/>
    <x v="1"/>
  </r>
  <r>
    <n v="1146"/>
    <x v="113"/>
    <s v="CUST-1185"/>
    <x v="4"/>
    <x v="0"/>
    <n v="6"/>
    <n v="22000"/>
    <m/>
    <n v="132000"/>
    <n v="36960"/>
    <x v="4"/>
    <x v="1"/>
    <s v="Corporate"/>
    <x v="3"/>
  </r>
  <r>
    <n v="1147"/>
    <x v="44"/>
    <s v="CUST-1107"/>
    <x v="5"/>
    <x v="2"/>
    <n v="3"/>
    <n v="120"/>
    <n v="0.15"/>
    <n v="306"/>
    <n v="46.8"/>
    <x v="5"/>
    <x v="1"/>
    <s v="Corporate"/>
    <x v="3"/>
  </r>
  <r>
    <n v="1148"/>
    <x v="114"/>
    <s v="CUST-1018"/>
    <x v="8"/>
    <x v="1"/>
    <n v="3"/>
    <n v="9000"/>
    <n v="0.05"/>
    <n v="25650"/>
    <n v="6210"/>
    <x v="7"/>
    <x v="1"/>
    <s v="Consumer"/>
    <x v="0"/>
  </r>
  <r>
    <n v="1149"/>
    <x v="115"/>
    <s v="CUST-1143"/>
    <x v="4"/>
    <x v="0"/>
    <n v="6"/>
    <n v="22000"/>
    <n v="0.1"/>
    <n v="118800"/>
    <n v="23760"/>
    <x v="3"/>
    <x v="0"/>
    <s v="Home Office"/>
    <x v="1"/>
  </r>
  <r>
    <n v="1150"/>
    <x v="95"/>
    <s v="CUST-1185"/>
    <x v="4"/>
    <x v="0"/>
    <n v="4"/>
    <n v="22000"/>
    <n v="0.1"/>
    <n v="79200"/>
    <n v="15840"/>
    <x v="5"/>
    <x v="1"/>
    <s v="Corporate"/>
    <x v="1"/>
  </r>
  <r>
    <n v="1151"/>
    <x v="88"/>
    <s v="CUST-1169"/>
    <x v="3"/>
    <x v="1"/>
    <n v="1"/>
    <n v="12000"/>
    <n v="0.05"/>
    <n v="11400"/>
    <n v="2760"/>
    <x v="3"/>
    <x v="0"/>
    <s v="Consumer"/>
    <x v="0"/>
  </r>
  <r>
    <n v="1152"/>
    <x v="45"/>
    <s v="CUST-1147"/>
    <x v="2"/>
    <x v="0"/>
    <n v="3"/>
    <n v="16000"/>
    <n v="0"/>
    <n v="48000"/>
    <n v="13440"/>
    <x v="9"/>
    <x v="3"/>
    <s v="Corporate"/>
    <x v="1"/>
  </r>
  <r>
    <n v="1153"/>
    <x v="2"/>
    <s v="CUST-1047"/>
    <x v="1"/>
    <x v="0"/>
    <n v="6"/>
    <n v="1800"/>
    <n v="0.1"/>
    <n v="9720"/>
    <n v="1944"/>
    <x v="1"/>
    <x v="1"/>
    <s v="Home Office"/>
    <x v="4"/>
  </r>
  <r>
    <n v="1154"/>
    <x v="116"/>
    <s v="CUST-1145"/>
    <x v="3"/>
    <x v="1"/>
    <n v="1"/>
    <n v="12000"/>
    <n v="0.05"/>
    <n v="11400"/>
    <n v="2760"/>
    <x v="3"/>
    <x v="0"/>
    <s v="Consumer"/>
    <x v="2"/>
  </r>
  <r>
    <n v="1155"/>
    <x v="117"/>
    <s v="CUST-1108"/>
    <x v="4"/>
    <x v="0"/>
    <n v="6"/>
    <n v="22000"/>
    <n v="0.05"/>
    <n v="125400"/>
    <n v="30360"/>
    <x v="5"/>
    <x v="1"/>
    <s v="Corporate"/>
    <x v="2"/>
  </r>
  <r>
    <n v="1156"/>
    <x v="109"/>
    <s v="CUST-1153"/>
    <x v="8"/>
    <x v="1"/>
    <n v="6"/>
    <n v="9000"/>
    <n v="0.1"/>
    <n v="48600"/>
    <n v="9720"/>
    <x v="2"/>
    <x v="2"/>
    <s v="Consumer"/>
    <x v="2"/>
  </r>
  <r>
    <n v="1157"/>
    <x v="118"/>
    <s v="CUST-1114"/>
    <x v="1"/>
    <x v="0"/>
    <n v="1"/>
    <n v="1800"/>
    <n v="0"/>
    <n v="1800"/>
    <n v="504"/>
    <x v="9"/>
    <x v="3"/>
    <s v="Corporate"/>
    <x v="1"/>
  </r>
  <r>
    <n v="1158"/>
    <x v="51"/>
    <s v="CUST-1030"/>
    <x v="5"/>
    <x v="2"/>
    <n v="3"/>
    <n v="120"/>
    <n v="0.05"/>
    <n v="342"/>
    <n v="82.8"/>
    <x v="4"/>
    <x v="1"/>
    <s v="Corporate"/>
    <x v="0"/>
  </r>
  <r>
    <n v="1159"/>
    <x v="119"/>
    <s v="CUST-1057"/>
    <x v="1"/>
    <x v="0"/>
    <n v="4"/>
    <n v="1800"/>
    <n v="0.1"/>
    <n v="6480"/>
    <n v="1296"/>
    <x v="1"/>
    <x v="1"/>
    <s v="Home Office"/>
    <x v="0"/>
  </r>
  <r>
    <n v="1160"/>
    <x v="120"/>
    <s v="CUST-1196"/>
    <x v="6"/>
    <x v="0"/>
    <n v="3"/>
    <n v="14000"/>
    <n v="0.05"/>
    <n v="39900"/>
    <n v="9660"/>
    <x v="3"/>
    <x v="0"/>
    <s v="Corporate"/>
    <x v="4"/>
  </r>
  <r>
    <n v="1161"/>
    <x v="67"/>
    <s v="CUST-1034"/>
    <x v="0"/>
    <x v="0"/>
    <n v="4"/>
    <n v="55000"/>
    <n v="0.15"/>
    <n v="187000"/>
    <n v="28600"/>
    <x v="3"/>
    <x v="0"/>
    <s v="Home Office"/>
    <x v="2"/>
  </r>
  <r>
    <n v="1162"/>
    <x v="121"/>
    <s v="CUST-1102"/>
    <x v="2"/>
    <x v="0"/>
    <n v="6"/>
    <n v="16000"/>
    <n v="0.1"/>
    <n v="86400"/>
    <n v="17280"/>
    <x v="6"/>
    <x v="3"/>
    <s v="Corporate"/>
    <x v="0"/>
  </r>
  <r>
    <n v="1163"/>
    <x v="122"/>
    <s v="CUST-1104"/>
    <x v="4"/>
    <x v="0"/>
    <n v="3"/>
    <n v="22000"/>
    <n v="0.15"/>
    <n v="56100"/>
    <n v="8580"/>
    <x v="2"/>
    <x v="2"/>
    <s v="Corporate"/>
    <x v="0"/>
  </r>
  <r>
    <n v="1164"/>
    <x v="123"/>
    <s v="CUST-1118"/>
    <x v="0"/>
    <x v="0"/>
    <n v="3"/>
    <n v="55000"/>
    <n v="0.05"/>
    <n v="156750"/>
    <n v="37950"/>
    <x v="2"/>
    <x v="2"/>
    <s v="Consumer"/>
    <x v="3"/>
  </r>
  <r>
    <n v="1165"/>
    <x v="124"/>
    <s v="CUST-1021"/>
    <x v="6"/>
    <x v="0"/>
    <n v="4"/>
    <n v="14000"/>
    <n v="0.15"/>
    <n v="47600"/>
    <n v="7280"/>
    <x v="4"/>
    <x v="1"/>
    <s v="Corporate"/>
    <x v="4"/>
  </r>
  <r>
    <n v="1166"/>
    <x v="125"/>
    <s v="CUST-1163"/>
    <x v="3"/>
    <x v="1"/>
    <n v="2"/>
    <n v="12000"/>
    <n v="0"/>
    <n v="24000"/>
    <n v="6720"/>
    <x v="4"/>
    <x v="1"/>
    <s v="Home Office"/>
    <x v="1"/>
  </r>
  <r>
    <n v="1167"/>
    <x v="126"/>
    <s v="CUST-1027"/>
    <x v="3"/>
    <x v="1"/>
    <n v="3"/>
    <n v="12000"/>
    <n v="0.05"/>
    <n v="34200"/>
    <n v="8280"/>
    <x v="0"/>
    <x v="0"/>
    <s v="Corporate"/>
    <x v="2"/>
  </r>
  <r>
    <n v="1168"/>
    <x v="127"/>
    <s v="CUST-1198"/>
    <x v="1"/>
    <x v="0"/>
    <n v="2"/>
    <n v="1800"/>
    <n v="0"/>
    <n v="3600"/>
    <n v="1008"/>
    <x v="3"/>
    <x v="0"/>
    <s v="Corporate"/>
    <x v="1"/>
  </r>
  <r>
    <n v="1169"/>
    <x v="25"/>
    <s v="CUST-1039"/>
    <x v="1"/>
    <x v="0"/>
    <n v="6"/>
    <n v="1800"/>
    <n v="0.1"/>
    <n v="9720"/>
    <n v="1944"/>
    <x v="10"/>
    <x v="2"/>
    <s v="Consumer"/>
    <x v="3"/>
  </r>
  <r>
    <n v="1170"/>
    <x v="51"/>
    <s v="CUST-1130"/>
    <x v="8"/>
    <x v="1"/>
    <n v="3"/>
    <n v="9000"/>
    <n v="0"/>
    <n v="27000"/>
    <n v="7560"/>
    <x v="10"/>
    <x v="2"/>
    <s v="Corporate"/>
    <x v="3"/>
  </r>
  <r>
    <n v="1171"/>
    <x v="19"/>
    <s v="CUST-1020"/>
    <x v="0"/>
    <x v="0"/>
    <n v="1"/>
    <n v="55000"/>
    <n v="0.1"/>
    <n v="49500"/>
    <n v="9900"/>
    <x v="9"/>
    <x v="3"/>
    <s v="Home Office"/>
    <x v="1"/>
  </r>
  <r>
    <n v="1172"/>
    <x v="15"/>
    <s v="CUST-1147"/>
    <x v="5"/>
    <x v="2"/>
    <n v="4"/>
    <n v="120"/>
    <n v="0"/>
    <n v="480"/>
    <n v="134.4"/>
    <x v="7"/>
    <x v="1"/>
    <s v="Corporate"/>
    <x v="1"/>
  </r>
  <r>
    <n v="1173"/>
    <x v="128"/>
    <s v="CUST-1027"/>
    <x v="2"/>
    <x v="0"/>
    <n v="2"/>
    <n v="16000"/>
    <n v="0"/>
    <n v="32000"/>
    <n v="8960"/>
    <x v="7"/>
    <x v="1"/>
    <s v="Home Office"/>
    <x v="0"/>
  </r>
  <r>
    <n v="1174"/>
    <x v="129"/>
    <s v="CUST-1113"/>
    <x v="7"/>
    <x v="0"/>
    <n v="1"/>
    <n v="2500"/>
    <n v="0.05"/>
    <n v="2375"/>
    <n v="575"/>
    <x v="7"/>
    <x v="1"/>
    <s v="Corporate"/>
    <x v="4"/>
  </r>
  <r>
    <n v="1175"/>
    <x v="130"/>
    <s v="CUST-1014"/>
    <x v="5"/>
    <x v="2"/>
    <n v="4"/>
    <n v="120"/>
    <n v="0.1"/>
    <n v="432"/>
    <n v="86.4"/>
    <x v="2"/>
    <x v="2"/>
    <s v="Consumer"/>
    <x v="4"/>
  </r>
  <r>
    <n v="1176"/>
    <x v="131"/>
    <s v="CUST-1065"/>
    <x v="2"/>
    <x v="0"/>
    <n v="6"/>
    <n v="16000"/>
    <n v="0.15"/>
    <n v="81600"/>
    <n v="12480"/>
    <x v="9"/>
    <x v="3"/>
    <s v="Corporate"/>
    <x v="0"/>
  </r>
  <r>
    <n v="1177"/>
    <x v="132"/>
    <s v="CUST-1153"/>
    <x v="3"/>
    <x v="1"/>
    <n v="3"/>
    <n v="12000"/>
    <n v="0.15"/>
    <n v="30600"/>
    <n v="4680"/>
    <x v="3"/>
    <x v="0"/>
    <s v="Corporate"/>
    <x v="1"/>
  </r>
  <r>
    <n v="1178"/>
    <x v="133"/>
    <s v="CUST-1131"/>
    <x v="3"/>
    <x v="1"/>
    <n v="2"/>
    <n v="12000"/>
    <n v="0"/>
    <n v="24000"/>
    <n v="6720"/>
    <x v="5"/>
    <x v="1"/>
    <s v="Consumer"/>
    <x v="4"/>
  </r>
  <r>
    <n v="1179"/>
    <x v="134"/>
    <s v="CUST-1050"/>
    <x v="7"/>
    <x v="0"/>
    <n v="2"/>
    <n v="2500"/>
    <n v="0.1"/>
    <n v="4500"/>
    <n v="900"/>
    <x v="7"/>
    <x v="1"/>
    <s v="Consumer"/>
    <x v="2"/>
  </r>
  <r>
    <n v="1180"/>
    <x v="135"/>
    <s v="CUST-1197"/>
    <x v="8"/>
    <x v="1"/>
    <n v="1"/>
    <n v="9000"/>
    <n v="0"/>
    <n v="9000"/>
    <n v="2520"/>
    <x v="10"/>
    <x v="2"/>
    <s v="Home Office"/>
    <x v="3"/>
  </r>
  <r>
    <n v="1181"/>
    <x v="69"/>
    <s v="CUST-1012"/>
    <x v="7"/>
    <x v="0"/>
    <n v="2"/>
    <n v="2500"/>
    <n v="0.05"/>
    <n v="4750"/>
    <n v="1150"/>
    <x v="7"/>
    <x v="1"/>
    <s v="Corporate"/>
    <x v="2"/>
  </r>
  <r>
    <n v="1182"/>
    <x v="136"/>
    <s v="CUST-1137"/>
    <x v="1"/>
    <x v="0"/>
    <n v="3"/>
    <n v="1800"/>
    <n v="0.15"/>
    <n v="4590"/>
    <n v="702"/>
    <x v="0"/>
    <x v="0"/>
    <s v="Corporate"/>
    <x v="3"/>
  </r>
  <r>
    <n v="1183"/>
    <x v="126"/>
    <s v="CUST-1197"/>
    <x v="3"/>
    <x v="1"/>
    <n v="6"/>
    <n v="12000"/>
    <n v="0.15"/>
    <n v="61200"/>
    <n v="9360"/>
    <x v="7"/>
    <x v="1"/>
    <s v="Corporate"/>
    <x v="1"/>
  </r>
  <r>
    <n v="1184"/>
    <x v="137"/>
    <s v="CUST-1036"/>
    <x v="5"/>
    <x v="2"/>
    <n v="2"/>
    <n v="120"/>
    <n v="0.05"/>
    <n v="228"/>
    <n v="55.2"/>
    <x v="2"/>
    <x v="2"/>
    <s v="Consumer"/>
    <x v="3"/>
  </r>
  <r>
    <n v="1185"/>
    <x v="138"/>
    <s v="CUST-1022"/>
    <x v="2"/>
    <x v="0"/>
    <n v="1"/>
    <n v="16000"/>
    <n v="0"/>
    <n v="16000"/>
    <n v="4480"/>
    <x v="9"/>
    <x v="3"/>
    <s v="Corporate"/>
    <x v="3"/>
  </r>
  <r>
    <n v="1186"/>
    <x v="139"/>
    <s v="CUST-1116"/>
    <x v="7"/>
    <x v="0"/>
    <n v="4"/>
    <n v="2500"/>
    <n v="0"/>
    <n v="10000"/>
    <n v="2800"/>
    <x v="0"/>
    <x v="0"/>
    <s v="Consumer"/>
    <x v="3"/>
  </r>
  <r>
    <n v="1187"/>
    <x v="140"/>
    <s v="CUST-1099"/>
    <x v="5"/>
    <x v="2"/>
    <n v="5"/>
    <n v="120"/>
    <n v="0.1"/>
    <n v="540"/>
    <n v="108"/>
    <x v="0"/>
    <x v="0"/>
    <s v="Corporate"/>
    <x v="2"/>
  </r>
  <r>
    <n v="1188"/>
    <x v="61"/>
    <s v="CUST-1036"/>
    <x v="3"/>
    <x v="1"/>
    <n v="1"/>
    <n v="12000"/>
    <n v="0.1"/>
    <n v="10800"/>
    <n v="2160"/>
    <x v="3"/>
    <x v="0"/>
    <s v="Corporate"/>
    <x v="3"/>
  </r>
  <r>
    <n v="1189"/>
    <x v="141"/>
    <s v="CUST-1005"/>
    <x v="9"/>
    <x v="2"/>
    <n v="4"/>
    <n v="180"/>
    <n v="0"/>
    <n v="720"/>
    <n v="201.6"/>
    <x v="6"/>
    <x v="3"/>
    <s v="Consumer"/>
    <x v="2"/>
  </r>
  <r>
    <n v="1190"/>
    <x v="137"/>
    <s v="CUST-1078"/>
    <x v="5"/>
    <x v="2"/>
    <n v="1"/>
    <n v="120"/>
    <n v="0.1"/>
    <n v="108"/>
    <n v="21.6"/>
    <x v="0"/>
    <x v="0"/>
    <s v="Consumer"/>
    <x v="2"/>
  </r>
  <r>
    <n v="1191"/>
    <x v="32"/>
    <s v="CUST-1128"/>
    <x v="1"/>
    <x v="0"/>
    <n v="4"/>
    <n v="1800"/>
    <n v="0"/>
    <n v="7200"/>
    <n v="2016"/>
    <x v="6"/>
    <x v="3"/>
    <s v="Home Office"/>
    <x v="1"/>
  </r>
  <r>
    <n v="1192"/>
    <x v="142"/>
    <s v="CUST-1158"/>
    <x v="7"/>
    <x v="0"/>
    <n v="3"/>
    <n v="2500"/>
    <n v="0.15"/>
    <n v="6375"/>
    <n v="975"/>
    <x v="1"/>
    <x v="1"/>
    <s v="Consumer"/>
    <x v="1"/>
  </r>
  <r>
    <n v="1193"/>
    <x v="143"/>
    <s v="CUST-1093"/>
    <x v="7"/>
    <x v="0"/>
    <n v="6"/>
    <n v="2500"/>
    <n v="0"/>
    <n v="15000"/>
    <n v="4200"/>
    <x v="4"/>
    <x v="1"/>
    <s v="Home Office"/>
    <x v="1"/>
  </r>
  <r>
    <n v="1194"/>
    <x v="15"/>
    <s v="CUST-1121"/>
    <x v="2"/>
    <x v="0"/>
    <n v="5"/>
    <n v="16000"/>
    <n v="0"/>
    <n v="80000"/>
    <n v="22400"/>
    <x v="5"/>
    <x v="1"/>
    <s v="Home Office"/>
    <x v="3"/>
  </r>
  <r>
    <n v="1195"/>
    <x v="144"/>
    <s v="CUST-1018"/>
    <x v="8"/>
    <x v="1"/>
    <n v="6"/>
    <n v="9000"/>
    <n v="0"/>
    <n v="54000"/>
    <n v="15120"/>
    <x v="10"/>
    <x v="2"/>
    <s v="Consumer"/>
    <x v="0"/>
  </r>
  <r>
    <n v="1196"/>
    <x v="145"/>
    <s v="CUST-1087"/>
    <x v="7"/>
    <x v="0"/>
    <n v="1"/>
    <n v="2500"/>
    <n v="0.1"/>
    <n v="2250"/>
    <n v="450"/>
    <x v="4"/>
    <x v="1"/>
    <s v="Home Office"/>
    <x v="3"/>
  </r>
  <r>
    <n v="1197"/>
    <x v="146"/>
    <s v="CUST-1010"/>
    <x v="7"/>
    <x v="0"/>
    <n v="2"/>
    <n v="2500"/>
    <n v="0"/>
    <n v="5000"/>
    <n v="1400"/>
    <x v="7"/>
    <x v="1"/>
    <s v="Consumer"/>
    <x v="0"/>
  </r>
  <r>
    <n v="1198"/>
    <x v="147"/>
    <s v="CUST-1102"/>
    <x v="0"/>
    <x v="0"/>
    <n v="3"/>
    <n v="55000"/>
    <n v="0.1"/>
    <n v="148500"/>
    <n v="29700"/>
    <x v="4"/>
    <x v="1"/>
    <s v="Corporate"/>
    <x v="0"/>
  </r>
  <r>
    <n v="1199"/>
    <x v="148"/>
    <s v="CUST-1070"/>
    <x v="8"/>
    <x v="1"/>
    <n v="3"/>
    <n v="9000"/>
    <n v="0"/>
    <n v="27000"/>
    <n v="7560"/>
    <x v="10"/>
    <x v="2"/>
    <s v="Corporate"/>
    <x v="3"/>
  </r>
  <r>
    <n v="1200"/>
    <x v="149"/>
    <s v="CUST-1128"/>
    <x v="9"/>
    <x v="2"/>
    <n v="4"/>
    <n v="180"/>
    <n v="0.1"/>
    <n v="648"/>
    <n v="129.6"/>
    <x v="3"/>
    <x v="0"/>
    <s v="Corporate"/>
    <x v="1"/>
  </r>
  <r>
    <n v="1201"/>
    <x v="150"/>
    <s v="CUST-1111"/>
    <x v="4"/>
    <x v="0"/>
    <n v="6"/>
    <n v="22000"/>
    <n v="0.15"/>
    <n v="112200"/>
    <n v="17160"/>
    <x v="6"/>
    <x v="3"/>
    <s v="Home Office"/>
    <x v="4"/>
  </r>
  <r>
    <n v="1202"/>
    <x v="151"/>
    <s v="CUST-1079"/>
    <x v="4"/>
    <x v="0"/>
    <n v="1"/>
    <n v="22000"/>
    <n v="0.1"/>
    <n v="19800"/>
    <n v="3960"/>
    <x v="9"/>
    <x v="3"/>
    <s v="Home Office"/>
    <x v="3"/>
  </r>
  <r>
    <n v="1203"/>
    <x v="152"/>
    <s v="CUST-1187"/>
    <x v="9"/>
    <x v="2"/>
    <n v="3"/>
    <n v="180"/>
    <n v="0.15"/>
    <n v="459"/>
    <n v="70.2"/>
    <x v="1"/>
    <x v="1"/>
    <s v="Home Office"/>
    <x v="3"/>
  </r>
  <r>
    <n v="1204"/>
    <x v="112"/>
    <s v="CUST-1132"/>
    <x v="0"/>
    <x v="0"/>
    <n v="1"/>
    <n v="55000"/>
    <n v="0.15"/>
    <n v="46750"/>
    <n v="7150"/>
    <x v="10"/>
    <x v="2"/>
    <s v="Consumer"/>
    <x v="2"/>
  </r>
  <r>
    <n v="1205"/>
    <x v="153"/>
    <s v="CUST-1200"/>
    <x v="0"/>
    <x v="0"/>
    <n v="2"/>
    <n v="55000"/>
    <n v="0"/>
    <n v="110000"/>
    <n v="30800"/>
    <x v="0"/>
    <x v="0"/>
    <s v="Corporate"/>
    <x v="3"/>
  </r>
  <r>
    <n v="1206"/>
    <x v="21"/>
    <s v="CUST-1096"/>
    <x v="1"/>
    <x v="0"/>
    <n v="2"/>
    <n v="1800"/>
    <n v="0.15"/>
    <n v="3060"/>
    <n v="468"/>
    <x v="10"/>
    <x v="2"/>
    <s v="Consumer"/>
    <x v="1"/>
  </r>
  <r>
    <n v="1207"/>
    <x v="103"/>
    <s v="CUST-1167"/>
    <x v="2"/>
    <x v="0"/>
    <n v="3"/>
    <n v="16000"/>
    <n v="0.15"/>
    <n v="40800"/>
    <n v="6240"/>
    <x v="10"/>
    <x v="2"/>
    <s v="Consumer"/>
    <x v="0"/>
  </r>
  <r>
    <n v="1208"/>
    <x v="2"/>
    <s v="CUST-1031"/>
    <x v="7"/>
    <x v="0"/>
    <n v="4"/>
    <n v="2500"/>
    <n v="0.15"/>
    <n v="8500"/>
    <n v="1300"/>
    <x v="4"/>
    <x v="1"/>
    <s v="Corporate"/>
    <x v="3"/>
  </r>
  <r>
    <n v="1209"/>
    <x v="154"/>
    <s v="CUST-1032"/>
    <x v="1"/>
    <x v="0"/>
    <n v="3"/>
    <n v="1800"/>
    <n v="0.15"/>
    <n v="4590"/>
    <n v="702"/>
    <x v="0"/>
    <x v="0"/>
    <s v="Consumer"/>
    <x v="3"/>
  </r>
  <r>
    <n v="1210"/>
    <x v="127"/>
    <s v="CUST-1182"/>
    <x v="9"/>
    <x v="2"/>
    <n v="1"/>
    <n v="180"/>
    <n v="0.1"/>
    <n v="162"/>
    <n v="32.4"/>
    <x v="10"/>
    <x v="2"/>
    <s v="Home Office"/>
    <x v="1"/>
  </r>
  <r>
    <n v="1211"/>
    <x v="155"/>
    <s v="CUST-1131"/>
    <x v="8"/>
    <x v="1"/>
    <n v="2"/>
    <n v="9000"/>
    <n v="0.05"/>
    <n v="17100"/>
    <n v="4140"/>
    <x v="10"/>
    <x v="2"/>
    <s v="Consumer"/>
    <x v="2"/>
  </r>
  <r>
    <n v="1212"/>
    <x v="141"/>
    <s v="CUST-1142"/>
    <x v="6"/>
    <x v="0"/>
    <n v="4"/>
    <n v="14000"/>
    <n v="0"/>
    <n v="56000"/>
    <n v="15680"/>
    <x v="10"/>
    <x v="2"/>
    <s v="Corporate"/>
    <x v="1"/>
  </r>
  <r>
    <n v="1213"/>
    <x v="156"/>
    <s v="CUST-1102"/>
    <x v="1"/>
    <x v="0"/>
    <n v="1"/>
    <n v="1800"/>
    <n v="0"/>
    <n v="1800"/>
    <n v="504"/>
    <x v="9"/>
    <x v="3"/>
    <s v="Home Office"/>
    <x v="3"/>
  </r>
  <r>
    <n v="1214"/>
    <x v="80"/>
    <s v="CUST-1165"/>
    <x v="1"/>
    <x v="0"/>
    <n v="1"/>
    <n v="1800"/>
    <n v="0.05"/>
    <n v="1710"/>
    <n v="414"/>
    <x v="10"/>
    <x v="2"/>
    <s v="Corporate"/>
    <x v="3"/>
  </r>
  <r>
    <n v="1215"/>
    <x v="157"/>
    <s v="CUST-1111"/>
    <x v="3"/>
    <x v="1"/>
    <n v="2"/>
    <n v="12000"/>
    <n v="0.05"/>
    <n v="22800"/>
    <n v="5520"/>
    <x v="3"/>
    <x v="0"/>
    <s v="Consumer"/>
    <x v="1"/>
  </r>
  <r>
    <n v="1216"/>
    <x v="69"/>
    <s v="CUST-1182"/>
    <x v="8"/>
    <x v="1"/>
    <n v="2"/>
    <n v="9000"/>
    <n v="0.05"/>
    <n v="17100"/>
    <n v="4140"/>
    <x v="10"/>
    <x v="2"/>
    <s v="Corporate"/>
    <x v="1"/>
  </r>
  <r>
    <n v="1217"/>
    <x v="119"/>
    <s v="CUST-1071"/>
    <x v="4"/>
    <x v="0"/>
    <n v="3"/>
    <n v="22000"/>
    <n v="0.05"/>
    <n v="62700"/>
    <n v="15180"/>
    <x v="4"/>
    <x v="1"/>
    <s v="Home Office"/>
    <x v="4"/>
  </r>
  <r>
    <n v="1218"/>
    <x v="73"/>
    <s v="CUST-1149"/>
    <x v="2"/>
    <x v="0"/>
    <n v="6"/>
    <n v="16000"/>
    <n v="0.05"/>
    <n v="91200"/>
    <n v="22080"/>
    <x v="2"/>
    <x v="2"/>
    <s v="Consumer"/>
    <x v="1"/>
  </r>
  <r>
    <n v="1219"/>
    <x v="158"/>
    <s v="CUST-1012"/>
    <x v="1"/>
    <x v="0"/>
    <n v="1"/>
    <n v="1800"/>
    <n v="0"/>
    <n v="1800"/>
    <n v="504"/>
    <x v="6"/>
    <x v="3"/>
    <s v="Home Office"/>
    <x v="2"/>
  </r>
  <r>
    <n v="1220"/>
    <x v="143"/>
    <s v="CUST-1161"/>
    <x v="1"/>
    <x v="0"/>
    <n v="6"/>
    <n v="1800"/>
    <n v="0"/>
    <n v="10800"/>
    <n v="3024"/>
    <x v="7"/>
    <x v="1"/>
    <s v="Home Office"/>
    <x v="4"/>
  </r>
  <r>
    <n v="1221"/>
    <x v="75"/>
    <s v="CUST-1117"/>
    <x v="6"/>
    <x v="0"/>
    <n v="6"/>
    <n v="14000"/>
    <n v="0.15"/>
    <n v="71400"/>
    <n v="10920"/>
    <x v="9"/>
    <x v="3"/>
    <s v="Home Office"/>
    <x v="0"/>
  </r>
  <r>
    <n v="1222"/>
    <x v="118"/>
    <s v="CUST-1053"/>
    <x v="9"/>
    <x v="2"/>
    <n v="4"/>
    <n v="180"/>
    <n v="0.15"/>
    <n v="612"/>
    <n v="93.6"/>
    <x v="7"/>
    <x v="1"/>
    <s v="Home Office"/>
    <x v="2"/>
  </r>
  <r>
    <n v="1223"/>
    <x v="114"/>
    <s v="CUST-1034"/>
    <x v="3"/>
    <x v="1"/>
    <n v="6"/>
    <n v="12000"/>
    <n v="0.1"/>
    <n v="64800"/>
    <n v="12960"/>
    <x v="5"/>
    <x v="1"/>
    <s v="Home Office"/>
    <x v="1"/>
  </r>
  <r>
    <n v="1224"/>
    <x v="124"/>
    <s v="CUST-1069"/>
    <x v="3"/>
    <x v="1"/>
    <n v="2"/>
    <n v="12000"/>
    <n v="0.15"/>
    <n v="20400"/>
    <n v="3120"/>
    <x v="6"/>
    <x v="3"/>
    <s v="Consumer"/>
    <x v="2"/>
  </r>
  <r>
    <n v="1225"/>
    <x v="23"/>
    <s v="CUST-1108"/>
    <x v="0"/>
    <x v="0"/>
    <n v="3"/>
    <n v="55000"/>
    <n v="0.15"/>
    <n v="140250"/>
    <n v="21450"/>
    <x v="2"/>
    <x v="2"/>
    <s v="Consumer"/>
    <x v="4"/>
  </r>
  <r>
    <n v="1226"/>
    <x v="114"/>
    <s v="CUST-1120"/>
    <x v="6"/>
    <x v="0"/>
    <n v="2"/>
    <n v="14000"/>
    <n v="0.15"/>
    <n v="23800"/>
    <n v="3640"/>
    <x v="4"/>
    <x v="1"/>
    <s v="Corporate"/>
    <x v="3"/>
  </r>
  <r>
    <n v="1227"/>
    <x v="101"/>
    <s v="CUST-1056"/>
    <x v="4"/>
    <x v="0"/>
    <n v="4"/>
    <n v="22000"/>
    <n v="0.15"/>
    <n v="74800"/>
    <n v="11440"/>
    <x v="0"/>
    <x v="0"/>
    <s v="Consumer"/>
    <x v="0"/>
  </r>
  <r>
    <n v="1228"/>
    <x v="130"/>
    <s v="CUST-1138"/>
    <x v="9"/>
    <x v="2"/>
    <n v="5"/>
    <n v="180"/>
    <n v="0.15"/>
    <n v="765"/>
    <n v="117"/>
    <x v="9"/>
    <x v="3"/>
    <s v="Consumer"/>
    <x v="3"/>
  </r>
  <r>
    <n v="1229"/>
    <x v="159"/>
    <s v="CUST-1094"/>
    <x v="8"/>
    <x v="1"/>
    <n v="6"/>
    <n v="9000"/>
    <n v="0.1"/>
    <n v="48600"/>
    <n v="9720"/>
    <x v="5"/>
    <x v="1"/>
    <s v="Corporate"/>
    <x v="0"/>
  </r>
  <r>
    <n v="1230"/>
    <x v="126"/>
    <s v="CUST-1099"/>
    <x v="3"/>
    <x v="1"/>
    <n v="5"/>
    <n v="12000"/>
    <n v="0.1"/>
    <n v="54000"/>
    <n v="10800"/>
    <x v="6"/>
    <x v="3"/>
    <s v="Home Office"/>
    <x v="4"/>
  </r>
  <r>
    <n v="1231"/>
    <x v="79"/>
    <s v="CUST-1087"/>
    <x v="7"/>
    <x v="0"/>
    <n v="1"/>
    <n v="2500"/>
    <n v="0.15"/>
    <n v="2125"/>
    <n v="325"/>
    <x v="10"/>
    <x v="2"/>
    <s v="Consumer"/>
    <x v="2"/>
  </r>
  <r>
    <n v="1232"/>
    <x v="160"/>
    <s v="CUST-1010"/>
    <x v="5"/>
    <x v="2"/>
    <n v="5"/>
    <n v="120"/>
    <n v="0"/>
    <n v="600"/>
    <n v="168"/>
    <x v="1"/>
    <x v="1"/>
    <s v="Home Office"/>
    <x v="4"/>
  </r>
  <r>
    <n v="1233"/>
    <x v="93"/>
    <s v="CUST-1132"/>
    <x v="2"/>
    <x v="0"/>
    <n v="4"/>
    <n v="16000"/>
    <n v="0.05"/>
    <n v="60800"/>
    <n v="14720"/>
    <x v="2"/>
    <x v="2"/>
    <s v="Corporate"/>
    <x v="1"/>
  </r>
  <r>
    <n v="1234"/>
    <x v="161"/>
    <s v="CUST-1087"/>
    <x v="7"/>
    <x v="0"/>
    <n v="4"/>
    <n v="2500"/>
    <n v="0.1"/>
    <n v="9000"/>
    <n v="1800"/>
    <x v="2"/>
    <x v="2"/>
    <s v="Home Office"/>
    <x v="1"/>
  </r>
  <r>
    <n v="1235"/>
    <x v="48"/>
    <s v="CUST-1173"/>
    <x v="9"/>
    <x v="2"/>
    <n v="1"/>
    <n v="180"/>
    <n v="0.1"/>
    <n v="162"/>
    <n v="32.4"/>
    <x v="10"/>
    <x v="2"/>
    <s v="Corporate"/>
    <x v="1"/>
  </r>
  <r>
    <n v="1236"/>
    <x v="162"/>
    <s v="CUST-1168"/>
    <x v="0"/>
    <x v="0"/>
    <n v="5"/>
    <n v="55000"/>
    <n v="0.15"/>
    <n v="233750"/>
    <n v="35750"/>
    <x v="9"/>
    <x v="3"/>
    <s v="Home Office"/>
    <x v="0"/>
  </r>
  <r>
    <n v="1237"/>
    <x v="146"/>
    <s v="CUST-1175"/>
    <x v="7"/>
    <x v="0"/>
    <n v="5"/>
    <n v="2500"/>
    <n v="0.15"/>
    <n v="10625"/>
    <n v="1625"/>
    <x v="3"/>
    <x v="0"/>
    <s v="Consumer"/>
    <x v="1"/>
  </r>
  <r>
    <n v="1238"/>
    <x v="13"/>
    <s v="CUST-1108"/>
    <x v="6"/>
    <x v="0"/>
    <n v="1"/>
    <n v="14000"/>
    <n v="0.15"/>
    <n v="11900"/>
    <n v="1820"/>
    <x v="10"/>
    <x v="2"/>
    <s v="Corporate"/>
    <x v="2"/>
  </r>
  <r>
    <n v="1239"/>
    <x v="163"/>
    <s v="CUST-1181"/>
    <x v="2"/>
    <x v="0"/>
    <n v="5"/>
    <n v="16000"/>
    <n v="0.15"/>
    <n v="68000"/>
    <n v="10400"/>
    <x v="1"/>
    <x v="1"/>
    <s v="Home Office"/>
    <x v="2"/>
  </r>
  <r>
    <n v="1240"/>
    <x v="164"/>
    <s v="CUST-1045"/>
    <x v="9"/>
    <x v="2"/>
    <n v="5"/>
    <n v="180"/>
    <n v="0.15"/>
    <n v="765"/>
    <n v="117"/>
    <x v="10"/>
    <x v="2"/>
    <s v="Home Office"/>
    <x v="4"/>
  </r>
  <r>
    <n v="1241"/>
    <x v="165"/>
    <s v="CUST-1064"/>
    <x v="8"/>
    <x v="1"/>
    <n v="5"/>
    <n v="9000"/>
    <n v="0.15"/>
    <n v="38250"/>
    <n v="5850"/>
    <x v="0"/>
    <x v="0"/>
    <s v="Home Office"/>
    <x v="4"/>
  </r>
  <r>
    <n v="1242"/>
    <x v="82"/>
    <s v="CUST-1082"/>
    <x v="8"/>
    <x v="1"/>
    <n v="3"/>
    <n v="9000"/>
    <n v="0.05"/>
    <n v="25650"/>
    <n v="6210"/>
    <x v="7"/>
    <x v="1"/>
    <s v="Corporate"/>
    <x v="1"/>
  </r>
  <r>
    <n v="1243"/>
    <x v="112"/>
    <s v="CUST-1089"/>
    <x v="8"/>
    <x v="1"/>
    <n v="1"/>
    <n v="9000"/>
    <n v="0.15"/>
    <n v="7650"/>
    <n v="1170"/>
    <x v="5"/>
    <x v="1"/>
    <s v="Corporate"/>
    <x v="0"/>
  </r>
  <r>
    <n v="1244"/>
    <x v="83"/>
    <s v="CUST-1192"/>
    <x v="4"/>
    <x v="0"/>
    <n v="3"/>
    <n v="22000"/>
    <n v="0.15"/>
    <n v="56100"/>
    <n v="8580"/>
    <x v="9"/>
    <x v="3"/>
    <s v="Consumer"/>
    <x v="2"/>
  </r>
  <r>
    <n v="1245"/>
    <x v="166"/>
    <s v="CUST-1028"/>
    <x v="2"/>
    <x v="0"/>
    <n v="6"/>
    <n v="16000"/>
    <n v="0.1"/>
    <n v="86400"/>
    <n v="17280"/>
    <x v="3"/>
    <x v="0"/>
    <s v="Consumer"/>
    <x v="0"/>
  </r>
  <r>
    <n v="1246"/>
    <x v="74"/>
    <s v="CUST-1026"/>
    <x v="6"/>
    <x v="0"/>
    <n v="6"/>
    <n v="14000"/>
    <n v="0.05"/>
    <n v="79800"/>
    <n v="19320"/>
    <x v="1"/>
    <x v="1"/>
    <s v="Corporate"/>
    <x v="3"/>
  </r>
  <r>
    <n v="1247"/>
    <x v="34"/>
    <s v="CUST-1168"/>
    <x v="7"/>
    <x v="0"/>
    <n v="1"/>
    <n v="2500"/>
    <n v="0.05"/>
    <n v="2375"/>
    <n v="575"/>
    <x v="5"/>
    <x v="1"/>
    <s v="Corporate"/>
    <x v="2"/>
  </r>
  <r>
    <n v="1248"/>
    <x v="83"/>
    <s v="CUST-1167"/>
    <x v="3"/>
    <x v="1"/>
    <n v="3"/>
    <n v="12000"/>
    <n v="0"/>
    <n v="36000"/>
    <n v="10080"/>
    <x v="6"/>
    <x v="3"/>
    <s v="Home Office"/>
    <x v="0"/>
  </r>
  <r>
    <n v="1249"/>
    <x v="167"/>
    <s v="CUST-1127"/>
    <x v="5"/>
    <x v="2"/>
    <n v="2"/>
    <n v="120"/>
    <n v="0"/>
    <n v="240"/>
    <n v="67.2"/>
    <x v="5"/>
    <x v="1"/>
    <s v="Home Office"/>
    <x v="4"/>
  </r>
  <r>
    <n v="1250"/>
    <x v="168"/>
    <s v="CUST-1073"/>
    <x v="0"/>
    <x v="0"/>
    <n v="3"/>
    <n v="55000"/>
    <n v="0"/>
    <n v="165000"/>
    <n v="46200"/>
    <x v="10"/>
    <x v="2"/>
    <s v="Home Office"/>
    <x v="1"/>
  </r>
  <r>
    <n v="1251"/>
    <x v="169"/>
    <s v="CUST-1050"/>
    <x v="9"/>
    <x v="2"/>
    <n v="2"/>
    <n v="180"/>
    <n v="0.15"/>
    <n v="306"/>
    <n v="46.8"/>
    <x v="9"/>
    <x v="3"/>
    <s v="Corporate"/>
    <x v="2"/>
  </r>
  <r>
    <n v="1252"/>
    <x v="170"/>
    <s v="CUST-1189"/>
    <x v="8"/>
    <x v="1"/>
    <n v="6"/>
    <n v="9000"/>
    <n v="0.05"/>
    <n v="51300"/>
    <n v="12420"/>
    <x v="1"/>
    <x v="1"/>
    <s v="Corporate"/>
    <x v="1"/>
  </r>
  <r>
    <n v="1253"/>
    <x v="49"/>
    <s v="CUST-1132"/>
    <x v="7"/>
    <x v="0"/>
    <n v="5"/>
    <n v="2500"/>
    <n v="0.15"/>
    <n v="10625"/>
    <n v="1625"/>
    <x v="5"/>
    <x v="1"/>
    <s v="Consumer"/>
    <x v="3"/>
  </r>
  <r>
    <n v="1254"/>
    <x v="131"/>
    <s v="CUST-1064"/>
    <x v="7"/>
    <x v="0"/>
    <n v="2"/>
    <n v="2500"/>
    <n v="0.15"/>
    <n v="4250"/>
    <n v="650"/>
    <x v="10"/>
    <x v="2"/>
    <s v="Corporate"/>
    <x v="3"/>
  </r>
  <r>
    <n v="1255"/>
    <x v="96"/>
    <s v="CUST-1150"/>
    <x v="9"/>
    <x v="2"/>
    <n v="3"/>
    <n v="180"/>
    <n v="0.1"/>
    <n v="486"/>
    <n v="97.2"/>
    <x v="9"/>
    <x v="3"/>
    <s v="Corporate"/>
    <x v="4"/>
  </r>
  <r>
    <n v="1256"/>
    <x v="96"/>
    <s v="CUST-1079"/>
    <x v="0"/>
    <x v="0"/>
    <n v="6"/>
    <n v="55000"/>
    <n v="0"/>
    <n v="330000"/>
    <n v="92400"/>
    <x v="7"/>
    <x v="1"/>
    <s v="Corporate"/>
    <x v="1"/>
  </r>
  <r>
    <n v="1257"/>
    <x v="88"/>
    <s v="CUST-1158"/>
    <x v="4"/>
    <x v="0"/>
    <n v="6"/>
    <n v="22000"/>
    <n v="0.1"/>
    <n v="118800"/>
    <n v="23760"/>
    <x v="10"/>
    <x v="2"/>
    <s v="Consumer"/>
    <x v="2"/>
  </r>
  <r>
    <n v="1258"/>
    <x v="171"/>
    <s v="CUST-1180"/>
    <x v="7"/>
    <x v="0"/>
    <n v="4"/>
    <n v="2500"/>
    <n v="0.1"/>
    <n v="9000"/>
    <n v="1800"/>
    <x v="5"/>
    <x v="1"/>
    <s v="Home Office"/>
    <x v="2"/>
  </r>
  <r>
    <n v="1259"/>
    <x v="172"/>
    <s v="CUST-1181"/>
    <x v="1"/>
    <x v="0"/>
    <n v="1"/>
    <n v="1800"/>
    <n v="0.15"/>
    <n v="1530"/>
    <n v="234"/>
    <x v="4"/>
    <x v="1"/>
    <s v="Consumer"/>
    <x v="1"/>
  </r>
  <r>
    <n v="1260"/>
    <x v="0"/>
    <s v="CUST-1138"/>
    <x v="0"/>
    <x v="0"/>
    <n v="5"/>
    <n v="55000"/>
    <n v="0.05"/>
    <n v="261250"/>
    <n v="63250"/>
    <x v="2"/>
    <x v="2"/>
    <s v="Consumer"/>
    <x v="4"/>
  </r>
  <r>
    <n v="1261"/>
    <x v="110"/>
    <s v="CUST-1126"/>
    <x v="9"/>
    <x v="2"/>
    <n v="1"/>
    <n v="180"/>
    <n v="0.05"/>
    <n v="171"/>
    <n v="41.4"/>
    <x v="2"/>
    <x v="2"/>
    <s v="Home Office"/>
    <x v="3"/>
  </r>
  <r>
    <n v="1262"/>
    <x v="173"/>
    <s v="CUST-1145"/>
    <x v="9"/>
    <x v="2"/>
    <n v="2"/>
    <n v="180"/>
    <n v="0.15"/>
    <n v="306"/>
    <n v="46.8"/>
    <x v="7"/>
    <x v="1"/>
    <s v="Home Office"/>
    <x v="3"/>
  </r>
  <r>
    <n v="1263"/>
    <x v="162"/>
    <s v="CUST-1191"/>
    <x v="0"/>
    <x v="0"/>
    <n v="4"/>
    <n v="55000"/>
    <n v="0.1"/>
    <n v="198000"/>
    <n v="39600"/>
    <x v="1"/>
    <x v="1"/>
    <s v="Home Office"/>
    <x v="0"/>
  </r>
  <r>
    <n v="1264"/>
    <x v="6"/>
    <s v="CUST-1016"/>
    <x v="5"/>
    <x v="2"/>
    <n v="3"/>
    <n v="120"/>
    <n v="0"/>
    <n v="360"/>
    <n v="100.8"/>
    <x v="4"/>
    <x v="1"/>
    <s v="Corporate"/>
    <x v="0"/>
  </r>
  <r>
    <n v="1265"/>
    <x v="102"/>
    <s v="CUST-1096"/>
    <x v="5"/>
    <x v="2"/>
    <n v="2"/>
    <n v="120"/>
    <n v="0.05"/>
    <n v="228"/>
    <n v="55.2"/>
    <x v="5"/>
    <x v="1"/>
    <s v="Corporate"/>
    <x v="3"/>
  </r>
  <r>
    <n v="1266"/>
    <x v="133"/>
    <s v="CUST-1031"/>
    <x v="4"/>
    <x v="0"/>
    <n v="6"/>
    <n v="22000"/>
    <n v="0.05"/>
    <n v="125400"/>
    <n v="30360"/>
    <x v="10"/>
    <x v="2"/>
    <s v="Home Office"/>
    <x v="3"/>
  </r>
  <r>
    <n v="1267"/>
    <x v="137"/>
    <s v="CUST-1194"/>
    <x v="7"/>
    <x v="0"/>
    <n v="6"/>
    <n v="2500"/>
    <n v="0.05"/>
    <n v="14250"/>
    <n v="3450"/>
    <x v="1"/>
    <x v="1"/>
    <s v="Corporate"/>
    <x v="3"/>
  </r>
  <r>
    <n v="1268"/>
    <x v="174"/>
    <s v="CUST-1118"/>
    <x v="2"/>
    <x v="0"/>
    <n v="4"/>
    <n v="16000"/>
    <n v="0.05"/>
    <n v="60800"/>
    <n v="14720"/>
    <x v="0"/>
    <x v="0"/>
    <s v="Consumer"/>
    <x v="4"/>
  </r>
  <r>
    <n v="1269"/>
    <x v="92"/>
    <s v="CUST-1197"/>
    <x v="4"/>
    <x v="0"/>
    <n v="1"/>
    <n v="22000"/>
    <n v="0.15"/>
    <n v="18700"/>
    <n v="2860"/>
    <x v="2"/>
    <x v="2"/>
    <s v="Consumer"/>
    <x v="2"/>
  </r>
  <r>
    <n v="1270"/>
    <x v="31"/>
    <s v="CUST-1154"/>
    <x v="4"/>
    <x v="0"/>
    <n v="5"/>
    <n v="22000"/>
    <n v="0"/>
    <n v="110000"/>
    <n v="30800"/>
    <x v="7"/>
    <x v="1"/>
    <s v="Consumer"/>
    <x v="0"/>
  </r>
  <r>
    <n v="1271"/>
    <x v="175"/>
    <s v="CUST-1036"/>
    <x v="9"/>
    <x v="2"/>
    <n v="2"/>
    <n v="180"/>
    <n v="0.05"/>
    <n v="342"/>
    <n v="82.8"/>
    <x v="1"/>
    <x v="1"/>
    <s v="Consumer"/>
    <x v="1"/>
  </r>
  <r>
    <n v="1272"/>
    <x v="161"/>
    <s v="CUST-1078"/>
    <x v="1"/>
    <x v="0"/>
    <n v="5"/>
    <n v="1800"/>
    <n v="0.1"/>
    <n v="8100"/>
    <n v="1620"/>
    <x v="0"/>
    <x v="0"/>
    <s v="Home Office"/>
    <x v="1"/>
  </r>
  <r>
    <n v="1273"/>
    <x v="125"/>
    <s v="CUST-1143"/>
    <x v="5"/>
    <x v="2"/>
    <n v="3"/>
    <n v="120"/>
    <n v="0.1"/>
    <n v="324"/>
    <n v="64.8"/>
    <x v="1"/>
    <x v="1"/>
    <s v="Home Office"/>
    <x v="3"/>
  </r>
  <r>
    <n v="1274"/>
    <x v="53"/>
    <s v="CUST-1082"/>
    <x v="0"/>
    <x v="0"/>
    <n v="3"/>
    <n v="55000"/>
    <n v="0.15"/>
    <n v="140250"/>
    <n v="21450"/>
    <x v="4"/>
    <x v="1"/>
    <s v="Corporate"/>
    <x v="2"/>
  </r>
  <r>
    <n v="1275"/>
    <x v="48"/>
    <s v="CUST-1058"/>
    <x v="5"/>
    <x v="2"/>
    <n v="2"/>
    <n v="120"/>
    <n v="0.15"/>
    <n v="204"/>
    <n v="31.2"/>
    <x v="0"/>
    <x v="0"/>
    <s v="Home Office"/>
    <x v="2"/>
  </r>
  <r>
    <n v="1276"/>
    <x v="54"/>
    <s v="CUST-1143"/>
    <x v="0"/>
    <x v="0"/>
    <n v="5"/>
    <n v="55000"/>
    <n v="0.15"/>
    <n v="233750"/>
    <n v="35750"/>
    <x v="5"/>
    <x v="1"/>
    <s v="Corporate"/>
    <x v="2"/>
  </r>
  <r>
    <n v="1277"/>
    <x v="99"/>
    <s v="CUST-1095"/>
    <x v="6"/>
    <x v="0"/>
    <n v="3"/>
    <n v="14000"/>
    <n v="0"/>
    <n v="42000"/>
    <n v="11760"/>
    <x v="7"/>
    <x v="1"/>
    <s v="Home Office"/>
    <x v="2"/>
  </r>
  <r>
    <n v="1278"/>
    <x v="63"/>
    <s v="CUST-1049"/>
    <x v="8"/>
    <x v="1"/>
    <n v="4"/>
    <n v="9000"/>
    <n v="0"/>
    <n v="36000"/>
    <n v="10080"/>
    <x v="6"/>
    <x v="3"/>
    <s v="Corporate"/>
    <x v="2"/>
  </r>
  <r>
    <n v="1279"/>
    <x v="145"/>
    <s v="CUST-1190"/>
    <x v="8"/>
    <x v="1"/>
    <n v="1"/>
    <n v="9000"/>
    <n v="0.05"/>
    <n v="8550"/>
    <n v="2070"/>
    <x v="0"/>
    <x v="0"/>
    <s v="Home Office"/>
    <x v="3"/>
  </r>
  <r>
    <n v="1280"/>
    <x v="176"/>
    <s v="CUST-1062"/>
    <x v="1"/>
    <x v="0"/>
    <n v="6"/>
    <n v="1800"/>
    <n v="0.05"/>
    <n v="10260"/>
    <n v="2484"/>
    <x v="5"/>
    <x v="1"/>
    <s v="Corporate"/>
    <x v="3"/>
  </r>
  <r>
    <n v="1281"/>
    <x v="65"/>
    <s v="CUST-1067"/>
    <x v="2"/>
    <x v="0"/>
    <n v="6"/>
    <n v="16000"/>
    <n v="0.1"/>
    <n v="86400"/>
    <n v="17280"/>
    <x v="9"/>
    <x v="3"/>
    <s v="Home Office"/>
    <x v="3"/>
  </r>
  <r>
    <n v="1282"/>
    <x v="65"/>
    <s v="CUST-1053"/>
    <x v="4"/>
    <x v="0"/>
    <n v="6"/>
    <n v="22000"/>
    <n v="0.15"/>
    <n v="112200"/>
    <n v="17160"/>
    <x v="10"/>
    <x v="2"/>
    <s v="Corporate"/>
    <x v="3"/>
  </r>
  <r>
    <n v="1283"/>
    <x v="6"/>
    <s v="CUST-1067"/>
    <x v="1"/>
    <x v="0"/>
    <n v="2"/>
    <n v="1800"/>
    <n v="0.05"/>
    <n v="3420"/>
    <n v="828"/>
    <x v="1"/>
    <x v="1"/>
    <s v="Corporate"/>
    <x v="2"/>
  </r>
  <r>
    <n v="1284"/>
    <x v="47"/>
    <s v="CUST-1063"/>
    <x v="3"/>
    <x v="1"/>
    <n v="2"/>
    <n v="12000"/>
    <n v="0.15"/>
    <n v="20400"/>
    <n v="3120"/>
    <x v="2"/>
    <x v="2"/>
    <s v="Home Office"/>
    <x v="4"/>
  </r>
  <r>
    <n v="1285"/>
    <x v="177"/>
    <s v="CUST-1044"/>
    <x v="9"/>
    <x v="2"/>
    <n v="6"/>
    <n v="180"/>
    <n v="0.15"/>
    <n v="918"/>
    <n v="140.4"/>
    <x v="7"/>
    <x v="1"/>
    <s v="Consumer"/>
    <x v="2"/>
  </r>
  <r>
    <n v="1286"/>
    <x v="91"/>
    <s v="CUST-1009"/>
    <x v="7"/>
    <x v="0"/>
    <n v="5"/>
    <n v="2500"/>
    <n v="0"/>
    <n v="12500"/>
    <n v="3500"/>
    <x v="4"/>
    <x v="1"/>
    <s v="Home Office"/>
    <x v="0"/>
  </r>
  <r>
    <n v="1287"/>
    <x v="120"/>
    <s v="CUST-1182"/>
    <x v="5"/>
    <x v="2"/>
    <n v="2"/>
    <n v="120"/>
    <n v="0.05"/>
    <n v="228"/>
    <n v="55.2"/>
    <x v="6"/>
    <x v="3"/>
    <s v="Consumer"/>
    <x v="2"/>
  </r>
  <r>
    <n v="1288"/>
    <x v="129"/>
    <s v="CUST-1164"/>
    <x v="9"/>
    <x v="2"/>
    <n v="3"/>
    <n v="180"/>
    <n v="0"/>
    <n v="540"/>
    <n v="151.19999999999999"/>
    <x v="2"/>
    <x v="2"/>
    <s v="Home Office"/>
    <x v="3"/>
  </r>
  <r>
    <n v="1289"/>
    <x v="178"/>
    <s v="CUST-1005"/>
    <x v="0"/>
    <x v="0"/>
    <n v="5"/>
    <n v="55000"/>
    <n v="0.15"/>
    <n v="233750"/>
    <n v="35750"/>
    <x v="1"/>
    <x v="1"/>
    <s v="Home Office"/>
    <x v="4"/>
  </r>
  <r>
    <n v="1290"/>
    <x v="178"/>
    <s v="CUST-1028"/>
    <x v="2"/>
    <x v="0"/>
    <n v="6"/>
    <n v="16000"/>
    <n v="0.15"/>
    <n v="81600"/>
    <n v="12480"/>
    <x v="3"/>
    <x v="0"/>
    <s v="Home Office"/>
    <x v="2"/>
  </r>
  <r>
    <n v="1291"/>
    <x v="142"/>
    <s v="CUST-1069"/>
    <x v="6"/>
    <x v="0"/>
    <n v="5"/>
    <n v="14000"/>
    <n v="0.1"/>
    <n v="63000"/>
    <n v="12600"/>
    <x v="10"/>
    <x v="2"/>
    <s v="Consumer"/>
    <x v="4"/>
  </r>
  <r>
    <n v="1292"/>
    <x v="123"/>
    <s v="CUST-1077"/>
    <x v="9"/>
    <x v="2"/>
    <n v="5"/>
    <n v="180"/>
    <n v="0.05"/>
    <n v="855"/>
    <n v="207"/>
    <x v="0"/>
    <x v="0"/>
    <s v="Home Office"/>
    <x v="0"/>
  </r>
  <r>
    <n v="1293"/>
    <x v="73"/>
    <s v="CUST-1122"/>
    <x v="5"/>
    <x v="2"/>
    <n v="4"/>
    <n v="120"/>
    <n v="0.15"/>
    <n v="408"/>
    <n v="62.4"/>
    <x v="4"/>
    <x v="1"/>
    <s v="Home Office"/>
    <x v="0"/>
  </r>
  <r>
    <n v="1294"/>
    <x v="8"/>
    <s v="CUST-1145"/>
    <x v="4"/>
    <x v="0"/>
    <n v="4"/>
    <n v="22000"/>
    <n v="0.15"/>
    <n v="74800"/>
    <n v="11440"/>
    <x v="10"/>
    <x v="2"/>
    <s v="Home Office"/>
    <x v="0"/>
  </r>
  <r>
    <n v="1295"/>
    <x v="20"/>
    <s v="CUST-1012"/>
    <x v="6"/>
    <x v="0"/>
    <n v="6"/>
    <n v="14000"/>
    <n v="0.15"/>
    <n v="71400"/>
    <n v="10920"/>
    <x v="9"/>
    <x v="3"/>
    <s v="Home Office"/>
    <x v="4"/>
  </r>
  <r>
    <n v="1296"/>
    <x v="21"/>
    <s v="CUST-1151"/>
    <x v="7"/>
    <x v="0"/>
    <n v="3"/>
    <n v="2500"/>
    <n v="0"/>
    <n v="7500"/>
    <n v="2100"/>
    <x v="0"/>
    <x v="0"/>
    <s v="Home Office"/>
    <x v="3"/>
  </r>
  <r>
    <n v="1297"/>
    <x v="135"/>
    <s v="CUST-1100"/>
    <x v="8"/>
    <x v="1"/>
    <n v="2"/>
    <n v="9000"/>
    <n v="0.05"/>
    <n v="17100"/>
    <n v="4140"/>
    <x v="2"/>
    <x v="2"/>
    <s v="Corporate"/>
    <x v="2"/>
  </r>
  <r>
    <n v="1298"/>
    <x v="98"/>
    <s v="CUST-1026"/>
    <x v="2"/>
    <x v="0"/>
    <n v="6"/>
    <n v="16000"/>
    <n v="0.1"/>
    <n v="86400"/>
    <n v="17280"/>
    <x v="1"/>
    <x v="1"/>
    <s v="Consumer"/>
    <x v="0"/>
  </r>
  <r>
    <n v="1299"/>
    <x v="68"/>
    <s v="CUST-1008"/>
    <x v="1"/>
    <x v="0"/>
    <n v="5"/>
    <n v="1800"/>
    <n v="0.15"/>
    <n v="7650"/>
    <n v="1170"/>
    <x v="10"/>
    <x v="2"/>
    <s v="Corporate"/>
    <x v="3"/>
  </r>
  <r>
    <n v="1300"/>
    <x v="44"/>
    <s v="CUST-1048"/>
    <x v="3"/>
    <x v="1"/>
    <n v="5"/>
    <n v="12000"/>
    <n v="0.15"/>
    <n v="51000"/>
    <n v="7800"/>
    <x v="5"/>
    <x v="1"/>
    <s v="Consumer"/>
    <x v="1"/>
  </r>
  <r>
    <n v="1301"/>
    <x v="29"/>
    <s v="CUST-1069"/>
    <x v="6"/>
    <x v="0"/>
    <n v="6"/>
    <n v="14000"/>
    <n v="0"/>
    <n v="84000"/>
    <n v="23520"/>
    <x v="6"/>
    <x v="3"/>
    <s v="Corporate"/>
    <x v="2"/>
  </r>
  <r>
    <n v="1302"/>
    <x v="179"/>
    <s v="CUST-1002"/>
    <x v="3"/>
    <x v="1"/>
    <n v="3"/>
    <n v="12000"/>
    <n v="0"/>
    <n v="36000"/>
    <n v="10080"/>
    <x v="6"/>
    <x v="3"/>
    <s v="Corporate"/>
    <x v="4"/>
  </r>
  <r>
    <n v="1303"/>
    <x v="166"/>
    <s v="CUST-1111"/>
    <x v="4"/>
    <x v="0"/>
    <n v="2"/>
    <n v="22000"/>
    <n v="0"/>
    <n v="44000"/>
    <n v="12320"/>
    <x v="3"/>
    <x v="0"/>
    <s v="Home Office"/>
    <x v="1"/>
  </r>
  <r>
    <n v="1304"/>
    <x v="139"/>
    <s v="CUST-1091"/>
    <x v="5"/>
    <x v="2"/>
    <n v="1"/>
    <n v="120"/>
    <n v="0"/>
    <n v="120"/>
    <n v="33.6"/>
    <x v="6"/>
    <x v="3"/>
    <s v="Home Office"/>
    <x v="1"/>
  </r>
  <r>
    <n v="1305"/>
    <x v="164"/>
    <s v="CUST-1100"/>
    <x v="5"/>
    <x v="2"/>
    <n v="1"/>
    <n v="120"/>
    <n v="0.1"/>
    <n v="108"/>
    <n v="21.6"/>
    <x v="5"/>
    <x v="1"/>
    <s v="Home Office"/>
    <x v="1"/>
  </r>
  <r>
    <n v="1306"/>
    <x v="176"/>
    <s v="CUST-1044"/>
    <x v="1"/>
    <x v="0"/>
    <n v="5"/>
    <n v="1800"/>
    <n v="0.05"/>
    <n v="8550"/>
    <n v="2070"/>
    <x v="5"/>
    <x v="1"/>
    <s v="Corporate"/>
    <x v="4"/>
  </r>
  <r>
    <n v="1307"/>
    <x v="70"/>
    <s v="CUST-1112"/>
    <x v="9"/>
    <x v="2"/>
    <n v="2"/>
    <n v="180"/>
    <n v="0"/>
    <n v="360"/>
    <n v="100.8"/>
    <x v="3"/>
    <x v="0"/>
    <s v="Corporate"/>
    <x v="4"/>
  </r>
  <r>
    <n v="1308"/>
    <x v="75"/>
    <s v="CUST-1185"/>
    <x v="4"/>
    <x v="0"/>
    <n v="3"/>
    <n v="22000"/>
    <n v="0.1"/>
    <n v="59400"/>
    <n v="11880"/>
    <x v="0"/>
    <x v="0"/>
    <s v="Home Office"/>
    <x v="1"/>
  </r>
  <r>
    <n v="1309"/>
    <x v="47"/>
    <s v="CUST-1002"/>
    <x v="9"/>
    <x v="2"/>
    <n v="1"/>
    <n v="180"/>
    <n v="0.05"/>
    <n v="171"/>
    <n v="41.4"/>
    <x v="9"/>
    <x v="3"/>
    <s v="Corporate"/>
    <x v="1"/>
  </r>
  <r>
    <n v="1310"/>
    <x v="4"/>
    <s v="CUST-1167"/>
    <x v="3"/>
    <x v="1"/>
    <n v="4"/>
    <n v="12000"/>
    <n v="0.1"/>
    <n v="43200"/>
    <n v="8640"/>
    <x v="5"/>
    <x v="1"/>
    <s v="Corporate"/>
    <x v="4"/>
  </r>
  <r>
    <n v="1311"/>
    <x v="147"/>
    <s v="CUST-1082"/>
    <x v="9"/>
    <x v="2"/>
    <n v="3"/>
    <n v="180"/>
    <n v="0.05"/>
    <n v="513"/>
    <n v="124.2"/>
    <x v="5"/>
    <x v="1"/>
    <s v="Home Office"/>
    <x v="3"/>
  </r>
  <r>
    <n v="1312"/>
    <x v="176"/>
    <s v="CUST-1094"/>
    <x v="3"/>
    <x v="1"/>
    <n v="4"/>
    <n v="12000"/>
    <n v="0.1"/>
    <n v="43200"/>
    <n v="8640"/>
    <x v="5"/>
    <x v="1"/>
    <s v="Home Office"/>
    <x v="2"/>
  </r>
  <r>
    <n v="1313"/>
    <x v="180"/>
    <s v="CUST-1113"/>
    <x v="2"/>
    <x v="0"/>
    <n v="1"/>
    <n v="16000"/>
    <n v="0.15"/>
    <n v="13600"/>
    <n v="2080"/>
    <x v="0"/>
    <x v="0"/>
    <s v="Home Office"/>
    <x v="0"/>
  </r>
  <r>
    <n v="1314"/>
    <x v="80"/>
    <s v="CUST-1065"/>
    <x v="9"/>
    <x v="2"/>
    <n v="2"/>
    <n v="180"/>
    <n v="0.1"/>
    <n v="324"/>
    <n v="64.8"/>
    <x v="0"/>
    <x v="0"/>
    <s v="Home Office"/>
    <x v="3"/>
  </r>
  <r>
    <n v="1315"/>
    <x v="181"/>
    <s v="CUST-1103"/>
    <x v="4"/>
    <x v="0"/>
    <n v="4"/>
    <n v="22000"/>
    <n v="0.15"/>
    <n v="74800"/>
    <n v="11440"/>
    <x v="2"/>
    <x v="2"/>
    <s v="Home Office"/>
    <x v="0"/>
  </r>
  <r>
    <n v="1316"/>
    <x v="182"/>
    <s v="CUST-1197"/>
    <x v="2"/>
    <x v="0"/>
    <n v="5"/>
    <n v="16000"/>
    <n v="0"/>
    <n v="80000"/>
    <n v="22400"/>
    <x v="6"/>
    <x v="3"/>
    <s v="Home Office"/>
    <x v="4"/>
  </r>
  <r>
    <n v="1317"/>
    <x v="152"/>
    <s v="CUST-1111"/>
    <x v="1"/>
    <x v="0"/>
    <n v="1"/>
    <n v="1800"/>
    <n v="0.15"/>
    <n v="1530"/>
    <n v="234"/>
    <x v="10"/>
    <x v="2"/>
    <s v="Consumer"/>
    <x v="0"/>
  </r>
  <r>
    <n v="1318"/>
    <x v="71"/>
    <s v="CUST-1096"/>
    <x v="6"/>
    <x v="0"/>
    <n v="5"/>
    <n v="14000"/>
    <n v="0.05"/>
    <n v="66500"/>
    <n v="16100"/>
    <x v="7"/>
    <x v="1"/>
    <s v="Corporate"/>
    <x v="1"/>
  </r>
  <r>
    <n v="1319"/>
    <x v="121"/>
    <s v="CUST-1027"/>
    <x v="7"/>
    <x v="0"/>
    <n v="3"/>
    <n v="2500"/>
    <n v="0"/>
    <n v="7500"/>
    <n v="2100"/>
    <x v="7"/>
    <x v="1"/>
    <s v="Corporate"/>
    <x v="0"/>
  </r>
  <r>
    <n v="1320"/>
    <x v="87"/>
    <s v="CUST-1117"/>
    <x v="7"/>
    <x v="0"/>
    <n v="3"/>
    <n v="2500"/>
    <n v="0.1"/>
    <n v="6750"/>
    <n v="1350"/>
    <x v="10"/>
    <x v="2"/>
    <s v="Home Office"/>
    <x v="3"/>
  </r>
  <r>
    <n v="1321"/>
    <x v="86"/>
    <s v="CUST-1082"/>
    <x v="9"/>
    <x v="2"/>
    <n v="1"/>
    <n v="180"/>
    <n v="0.15"/>
    <n v="153"/>
    <n v="23.4"/>
    <x v="7"/>
    <x v="1"/>
    <s v="Corporate"/>
    <x v="0"/>
  </r>
  <r>
    <n v="1322"/>
    <x v="105"/>
    <s v="CUST-1190"/>
    <x v="0"/>
    <x v="0"/>
    <n v="3"/>
    <n v="55000"/>
    <n v="0"/>
    <n v="165000"/>
    <n v="46200"/>
    <x v="3"/>
    <x v="0"/>
    <s v="Home Office"/>
    <x v="2"/>
  </r>
  <r>
    <n v="1323"/>
    <x v="55"/>
    <s v="CUST-1060"/>
    <x v="3"/>
    <x v="1"/>
    <n v="5"/>
    <n v="12000"/>
    <n v="0.15"/>
    <n v="51000"/>
    <n v="7800"/>
    <x v="7"/>
    <x v="1"/>
    <s v="Home Office"/>
    <x v="2"/>
  </r>
  <r>
    <n v="1324"/>
    <x v="183"/>
    <s v="CUST-1051"/>
    <x v="5"/>
    <x v="2"/>
    <n v="4"/>
    <n v="120"/>
    <n v="0"/>
    <n v="480"/>
    <n v="134.4"/>
    <x v="2"/>
    <x v="2"/>
    <s v="Home Office"/>
    <x v="3"/>
  </r>
  <r>
    <n v="1325"/>
    <x v="179"/>
    <s v="CUST-1072"/>
    <x v="0"/>
    <x v="0"/>
    <n v="6"/>
    <n v="55000"/>
    <n v="0.05"/>
    <n v="313500"/>
    <n v="75900"/>
    <x v="0"/>
    <x v="0"/>
    <s v="Home Office"/>
    <x v="0"/>
  </r>
  <r>
    <n v="1326"/>
    <x v="183"/>
    <s v="CUST-1030"/>
    <x v="3"/>
    <x v="1"/>
    <n v="3"/>
    <n v="12000"/>
    <n v="0.05"/>
    <n v="34200"/>
    <n v="8280"/>
    <x v="7"/>
    <x v="1"/>
    <s v="Home Office"/>
    <x v="3"/>
  </r>
  <r>
    <n v="1327"/>
    <x v="137"/>
    <s v="CUST-1101"/>
    <x v="3"/>
    <x v="1"/>
    <n v="5"/>
    <n v="12000"/>
    <n v="0.15"/>
    <n v="51000"/>
    <n v="7800"/>
    <x v="2"/>
    <x v="2"/>
    <s v="Corporate"/>
    <x v="4"/>
  </r>
  <r>
    <n v="1328"/>
    <x v="170"/>
    <s v="CUST-1152"/>
    <x v="1"/>
    <x v="0"/>
    <n v="2"/>
    <n v="1800"/>
    <n v="0.1"/>
    <n v="3240"/>
    <n v="648"/>
    <x v="2"/>
    <x v="2"/>
    <s v="Home Office"/>
    <x v="2"/>
  </r>
  <r>
    <n v="1329"/>
    <x v="114"/>
    <s v="CUST-1047"/>
    <x v="4"/>
    <x v="0"/>
    <n v="2"/>
    <n v="22000"/>
    <n v="0.1"/>
    <n v="39600"/>
    <n v="7920"/>
    <x v="6"/>
    <x v="3"/>
    <s v="Home Office"/>
    <x v="2"/>
  </r>
  <r>
    <n v="1330"/>
    <x v="46"/>
    <s v="CUST-1099"/>
    <x v="5"/>
    <x v="2"/>
    <n v="4"/>
    <n v="120"/>
    <n v="0.05"/>
    <n v="456"/>
    <n v="110.4"/>
    <x v="2"/>
    <x v="2"/>
    <s v="Consumer"/>
    <x v="3"/>
  </r>
  <r>
    <n v="1331"/>
    <x v="127"/>
    <s v="CUST-1036"/>
    <x v="2"/>
    <x v="0"/>
    <n v="2"/>
    <n v="16000"/>
    <n v="0.15"/>
    <n v="27200"/>
    <n v="4160"/>
    <x v="9"/>
    <x v="3"/>
    <s v="Corporate"/>
    <x v="3"/>
  </r>
  <r>
    <n v="1332"/>
    <x v="140"/>
    <s v="CUST-1050"/>
    <x v="3"/>
    <x v="1"/>
    <n v="1"/>
    <n v="12000"/>
    <n v="0.15"/>
    <n v="10200"/>
    <n v="1560"/>
    <x v="3"/>
    <x v="0"/>
    <s v="Home Office"/>
    <x v="1"/>
  </r>
  <r>
    <n v="1333"/>
    <x v="53"/>
    <s v="CUST-1182"/>
    <x v="5"/>
    <x v="2"/>
    <n v="6"/>
    <n v="120"/>
    <n v="0.15"/>
    <n v="612"/>
    <n v="93.6"/>
    <x v="5"/>
    <x v="1"/>
    <s v="Corporate"/>
    <x v="2"/>
  </r>
  <r>
    <n v="1334"/>
    <x v="184"/>
    <s v="CUST-1009"/>
    <x v="1"/>
    <x v="0"/>
    <n v="1"/>
    <n v="1800"/>
    <n v="0.05"/>
    <n v="1710"/>
    <n v="414"/>
    <x v="9"/>
    <x v="3"/>
    <s v="Consumer"/>
    <x v="1"/>
  </r>
  <r>
    <n v="1335"/>
    <x v="83"/>
    <s v="CUST-1131"/>
    <x v="7"/>
    <x v="0"/>
    <n v="4"/>
    <n v="2500"/>
    <n v="0.15"/>
    <n v="8500"/>
    <n v="1300"/>
    <x v="4"/>
    <x v="1"/>
    <s v="Home Office"/>
    <x v="0"/>
  </r>
  <r>
    <n v="1336"/>
    <x v="70"/>
    <s v="CUST-1140"/>
    <x v="2"/>
    <x v="0"/>
    <n v="3"/>
    <n v="16000"/>
    <n v="0"/>
    <n v="48000"/>
    <n v="13440"/>
    <x v="7"/>
    <x v="1"/>
    <s v="Corporate"/>
    <x v="0"/>
  </r>
  <r>
    <n v="1337"/>
    <x v="172"/>
    <s v="CUST-1090"/>
    <x v="8"/>
    <x v="1"/>
    <n v="1"/>
    <n v="9000"/>
    <n v="0.15"/>
    <n v="7650"/>
    <n v="1170"/>
    <x v="9"/>
    <x v="3"/>
    <s v="Corporate"/>
    <x v="0"/>
  </r>
  <r>
    <n v="1338"/>
    <x v="185"/>
    <s v="CUST-1162"/>
    <x v="6"/>
    <x v="0"/>
    <n v="6"/>
    <n v="14000"/>
    <n v="0.1"/>
    <n v="75600"/>
    <n v="15120"/>
    <x v="2"/>
    <x v="2"/>
    <s v="Consumer"/>
    <x v="1"/>
  </r>
  <r>
    <n v="1339"/>
    <x v="141"/>
    <s v="CUST-1090"/>
    <x v="6"/>
    <x v="0"/>
    <n v="2"/>
    <n v="14000"/>
    <n v="0"/>
    <n v="28000"/>
    <n v="7840"/>
    <x v="2"/>
    <x v="2"/>
    <s v="Home Office"/>
    <x v="1"/>
  </r>
  <r>
    <n v="1340"/>
    <x v="186"/>
    <s v="CUST-1147"/>
    <x v="3"/>
    <x v="1"/>
    <n v="6"/>
    <n v="12000"/>
    <n v="0.1"/>
    <n v="64800"/>
    <n v="12960"/>
    <x v="9"/>
    <x v="3"/>
    <s v="Home Office"/>
    <x v="0"/>
  </r>
  <r>
    <n v="1341"/>
    <x v="187"/>
    <s v="CUST-1180"/>
    <x v="5"/>
    <x v="2"/>
    <n v="1"/>
    <n v="120"/>
    <n v="0.1"/>
    <n v="108"/>
    <n v="21.6"/>
    <x v="3"/>
    <x v="0"/>
    <s v="Consumer"/>
    <x v="2"/>
  </r>
  <r>
    <n v="1342"/>
    <x v="151"/>
    <s v="CUST-1037"/>
    <x v="6"/>
    <x v="0"/>
    <n v="6"/>
    <n v="14000"/>
    <n v="0.15"/>
    <n v="71400"/>
    <n v="10920"/>
    <x v="7"/>
    <x v="1"/>
    <s v="Home Office"/>
    <x v="3"/>
  </r>
  <r>
    <n v="1343"/>
    <x v="133"/>
    <s v="CUST-1132"/>
    <x v="9"/>
    <x v="2"/>
    <n v="1"/>
    <n v="180"/>
    <n v="0"/>
    <n v="180"/>
    <n v="50.4"/>
    <x v="5"/>
    <x v="1"/>
    <s v="Home Office"/>
    <x v="4"/>
  </r>
  <r>
    <n v="1344"/>
    <x v="81"/>
    <s v="CUST-1188"/>
    <x v="9"/>
    <x v="2"/>
    <n v="3"/>
    <n v="180"/>
    <n v="0"/>
    <n v="540"/>
    <n v="151.19999999999999"/>
    <x v="6"/>
    <x v="3"/>
    <s v="Home Office"/>
    <x v="4"/>
  </r>
  <r>
    <n v="1345"/>
    <x v="58"/>
    <s v="CUST-1055"/>
    <x v="2"/>
    <x v="0"/>
    <n v="4"/>
    <n v="16000"/>
    <n v="0.05"/>
    <n v="60800"/>
    <n v="14720"/>
    <x v="5"/>
    <x v="1"/>
    <s v="Corporate"/>
    <x v="4"/>
  </r>
  <r>
    <n v="1346"/>
    <x v="119"/>
    <s v="CUST-1125"/>
    <x v="3"/>
    <x v="1"/>
    <n v="5"/>
    <n v="12000"/>
    <n v="0.05"/>
    <n v="57000"/>
    <n v="13800"/>
    <x v="2"/>
    <x v="2"/>
    <s v="Home Office"/>
    <x v="0"/>
  </r>
  <r>
    <n v="1347"/>
    <x v="6"/>
    <s v="CUST-1032"/>
    <x v="4"/>
    <x v="0"/>
    <n v="6"/>
    <n v="22000"/>
    <n v="0.15"/>
    <n v="112200"/>
    <n v="17160"/>
    <x v="1"/>
    <x v="1"/>
    <s v="Corporate"/>
    <x v="3"/>
  </r>
  <r>
    <n v="1348"/>
    <x v="50"/>
    <s v="CUST-1041"/>
    <x v="5"/>
    <x v="2"/>
    <n v="2"/>
    <n v="120"/>
    <n v="0.05"/>
    <n v="228"/>
    <n v="55.2"/>
    <x v="9"/>
    <x v="3"/>
    <s v="Consumer"/>
    <x v="4"/>
  </r>
  <r>
    <n v="1349"/>
    <x v="38"/>
    <s v="CUST-1102"/>
    <x v="4"/>
    <x v="0"/>
    <n v="3"/>
    <n v="22000"/>
    <n v="0.05"/>
    <n v="62700"/>
    <n v="15180"/>
    <x v="1"/>
    <x v="1"/>
    <s v="Home Office"/>
    <x v="2"/>
  </r>
  <r>
    <n v="1350"/>
    <x v="12"/>
    <s v="CUST-1055"/>
    <x v="4"/>
    <x v="0"/>
    <n v="6"/>
    <n v="22000"/>
    <n v="0"/>
    <n v="132000"/>
    <n v="36960"/>
    <x v="1"/>
    <x v="1"/>
    <s v="Consumer"/>
    <x v="2"/>
  </r>
  <r>
    <n v="1351"/>
    <x v="82"/>
    <s v="CUST-1003"/>
    <x v="2"/>
    <x v="0"/>
    <n v="6"/>
    <n v="16000"/>
    <n v="0.15"/>
    <n v="81600"/>
    <n v="12480"/>
    <x v="1"/>
    <x v="1"/>
    <s v="Consumer"/>
    <x v="3"/>
  </r>
  <r>
    <n v="1352"/>
    <x v="22"/>
    <s v="CUST-1023"/>
    <x v="9"/>
    <x v="2"/>
    <n v="1"/>
    <n v="180"/>
    <n v="0.05"/>
    <n v="171"/>
    <n v="41.4"/>
    <x v="5"/>
    <x v="1"/>
    <s v="Consumer"/>
    <x v="4"/>
  </r>
  <r>
    <n v="1353"/>
    <x v="188"/>
    <s v="CUST-1165"/>
    <x v="8"/>
    <x v="1"/>
    <n v="2"/>
    <n v="9000"/>
    <n v="0.15"/>
    <n v="15300"/>
    <n v="2340"/>
    <x v="3"/>
    <x v="0"/>
    <s v="Consumer"/>
    <x v="1"/>
  </r>
  <r>
    <n v="1354"/>
    <x v="36"/>
    <s v="CUST-1090"/>
    <x v="1"/>
    <x v="0"/>
    <n v="6"/>
    <n v="1800"/>
    <n v="0.05"/>
    <n v="10260"/>
    <n v="2484"/>
    <x v="7"/>
    <x v="1"/>
    <s v="Home Office"/>
    <x v="2"/>
  </r>
  <r>
    <n v="1355"/>
    <x v="163"/>
    <s v="CUST-1023"/>
    <x v="1"/>
    <x v="0"/>
    <n v="6"/>
    <n v="1800"/>
    <n v="0.15"/>
    <n v="9180"/>
    <n v="1404"/>
    <x v="0"/>
    <x v="0"/>
    <s v="Consumer"/>
    <x v="0"/>
  </r>
  <r>
    <n v="1356"/>
    <x v="189"/>
    <s v="CUST-1064"/>
    <x v="3"/>
    <x v="1"/>
    <n v="4"/>
    <n v="12000"/>
    <n v="0.1"/>
    <n v="43200"/>
    <n v="8640"/>
    <x v="3"/>
    <x v="0"/>
    <s v="Home Office"/>
    <x v="0"/>
  </r>
  <r>
    <n v="1357"/>
    <x v="41"/>
    <s v="CUST-1169"/>
    <x v="2"/>
    <x v="0"/>
    <n v="5"/>
    <n v="16000"/>
    <n v="0.1"/>
    <n v="72000"/>
    <n v="14400"/>
    <x v="1"/>
    <x v="1"/>
    <s v="Consumer"/>
    <x v="1"/>
  </r>
  <r>
    <n v="1358"/>
    <x v="160"/>
    <s v="CUST-1166"/>
    <x v="6"/>
    <x v="0"/>
    <n v="6"/>
    <n v="14000"/>
    <n v="0.15"/>
    <n v="71400"/>
    <n v="10920"/>
    <x v="9"/>
    <x v="3"/>
    <s v="Consumer"/>
    <x v="3"/>
  </r>
  <r>
    <n v="1359"/>
    <x v="190"/>
    <s v="CUST-1019"/>
    <x v="4"/>
    <x v="0"/>
    <n v="2"/>
    <n v="22000"/>
    <n v="0.15"/>
    <n v="37400"/>
    <n v="5720"/>
    <x v="2"/>
    <x v="2"/>
    <s v="Corporate"/>
    <x v="4"/>
  </r>
  <r>
    <n v="1360"/>
    <x v="22"/>
    <s v="CUST-1140"/>
    <x v="5"/>
    <x v="2"/>
    <n v="5"/>
    <n v="120"/>
    <n v="0.15"/>
    <n v="510"/>
    <n v="78"/>
    <x v="10"/>
    <x v="2"/>
    <s v="Corporate"/>
    <x v="0"/>
  </r>
  <r>
    <n v="1361"/>
    <x v="178"/>
    <s v="CUST-1056"/>
    <x v="1"/>
    <x v="0"/>
    <n v="1"/>
    <n v="1800"/>
    <n v="0"/>
    <n v="1800"/>
    <n v="504"/>
    <x v="9"/>
    <x v="3"/>
    <s v="Consumer"/>
    <x v="3"/>
  </r>
  <r>
    <n v="1362"/>
    <x v="15"/>
    <s v="CUST-1180"/>
    <x v="8"/>
    <x v="1"/>
    <n v="6"/>
    <n v="9000"/>
    <n v="0.15"/>
    <n v="45900"/>
    <n v="7020"/>
    <x v="5"/>
    <x v="1"/>
    <s v="Consumer"/>
    <x v="1"/>
  </r>
  <r>
    <n v="1363"/>
    <x v="69"/>
    <s v="CUST-1131"/>
    <x v="8"/>
    <x v="1"/>
    <n v="1"/>
    <n v="9000"/>
    <n v="0.1"/>
    <n v="8100"/>
    <n v="1620"/>
    <x v="6"/>
    <x v="3"/>
    <s v="Consumer"/>
    <x v="1"/>
  </r>
  <r>
    <n v="1364"/>
    <x v="191"/>
    <s v="CUST-1179"/>
    <x v="5"/>
    <x v="2"/>
    <n v="5"/>
    <n v="120"/>
    <n v="0"/>
    <n v="600"/>
    <n v="168"/>
    <x v="9"/>
    <x v="3"/>
    <s v="Home Office"/>
    <x v="2"/>
  </r>
  <r>
    <n v="1365"/>
    <x v="192"/>
    <s v="CUST-1117"/>
    <x v="6"/>
    <x v="0"/>
    <n v="1"/>
    <n v="14000"/>
    <n v="0.15"/>
    <n v="11900"/>
    <n v="1820"/>
    <x v="6"/>
    <x v="3"/>
    <s v="Corporate"/>
    <x v="2"/>
  </r>
  <r>
    <n v="1366"/>
    <x v="67"/>
    <s v="CUST-1042"/>
    <x v="0"/>
    <x v="0"/>
    <n v="6"/>
    <n v="55000"/>
    <n v="0.05"/>
    <n v="313500"/>
    <n v="75900"/>
    <x v="1"/>
    <x v="1"/>
    <s v="Corporate"/>
    <x v="1"/>
  </r>
  <r>
    <n v="1367"/>
    <x v="157"/>
    <s v="CUST-1192"/>
    <x v="8"/>
    <x v="1"/>
    <n v="2"/>
    <n v="9000"/>
    <n v="0.1"/>
    <n v="16200"/>
    <n v="3240"/>
    <x v="3"/>
    <x v="0"/>
    <s v="Home Office"/>
    <x v="0"/>
  </r>
  <r>
    <n v="1368"/>
    <x v="117"/>
    <s v="CUST-1017"/>
    <x v="3"/>
    <x v="1"/>
    <n v="4"/>
    <n v="12000"/>
    <n v="0.1"/>
    <n v="43200"/>
    <n v="8640"/>
    <x v="4"/>
    <x v="1"/>
    <s v="Home Office"/>
    <x v="1"/>
  </r>
  <r>
    <n v="1369"/>
    <x v="135"/>
    <s v="CUST-1128"/>
    <x v="9"/>
    <x v="2"/>
    <n v="4"/>
    <n v="180"/>
    <n v="0.1"/>
    <n v="648"/>
    <n v="129.6"/>
    <x v="1"/>
    <x v="1"/>
    <s v="Corporate"/>
    <x v="2"/>
  </r>
  <r>
    <n v="1370"/>
    <x v="99"/>
    <s v="CUST-1190"/>
    <x v="4"/>
    <x v="0"/>
    <n v="5"/>
    <n v="22000"/>
    <n v="0"/>
    <n v="110000"/>
    <n v="30800"/>
    <x v="0"/>
    <x v="0"/>
    <s v="Consumer"/>
    <x v="0"/>
  </r>
  <r>
    <n v="1371"/>
    <x v="35"/>
    <s v="CUST-1039"/>
    <x v="0"/>
    <x v="0"/>
    <n v="4"/>
    <n v="55000"/>
    <n v="0.1"/>
    <n v="198000"/>
    <n v="39600"/>
    <x v="5"/>
    <x v="1"/>
    <s v="Consumer"/>
    <x v="1"/>
  </r>
  <r>
    <n v="1372"/>
    <x v="32"/>
    <s v="CUST-1185"/>
    <x v="6"/>
    <x v="0"/>
    <n v="3"/>
    <n v="14000"/>
    <n v="0.05"/>
    <n v="39900"/>
    <n v="9660"/>
    <x v="5"/>
    <x v="1"/>
    <s v="Corporate"/>
    <x v="0"/>
  </r>
  <r>
    <n v="1373"/>
    <x v="138"/>
    <s v="CUST-1058"/>
    <x v="4"/>
    <x v="0"/>
    <n v="5"/>
    <n v="22000"/>
    <n v="0"/>
    <n v="110000"/>
    <n v="30800"/>
    <x v="3"/>
    <x v="0"/>
    <s v="Corporate"/>
    <x v="0"/>
  </r>
  <r>
    <n v="1374"/>
    <x v="65"/>
    <s v="CUST-1142"/>
    <x v="8"/>
    <x v="1"/>
    <n v="3"/>
    <n v="9000"/>
    <n v="0.1"/>
    <n v="24300"/>
    <n v="4860"/>
    <x v="6"/>
    <x v="3"/>
    <s v="Consumer"/>
    <x v="4"/>
  </r>
  <r>
    <n v="1375"/>
    <x v="147"/>
    <s v="CUST-1063"/>
    <x v="8"/>
    <x v="1"/>
    <n v="5"/>
    <n v="9000"/>
    <n v="0.1"/>
    <n v="40500"/>
    <n v="8100"/>
    <x v="2"/>
    <x v="2"/>
    <s v="Corporate"/>
    <x v="1"/>
  </r>
  <r>
    <n v="1376"/>
    <x v="84"/>
    <s v="CUST-1002"/>
    <x v="6"/>
    <x v="0"/>
    <n v="6"/>
    <n v="14000"/>
    <n v="0.05"/>
    <n v="79800"/>
    <n v="19320"/>
    <x v="3"/>
    <x v="0"/>
    <s v="Consumer"/>
    <x v="2"/>
  </r>
  <r>
    <n v="1377"/>
    <x v="193"/>
    <s v="CUST-1189"/>
    <x v="0"/>
    <x v="0"/>
    <n v="3"/>
    <n v="55000"/>
    <n v="0"/>
    <n v="165000"/>
    <n v="46200"/>
    <x v="5"/>
    <x v="1"/>
    <s v="Consumer"/>
    <x v="2"/>
  </r>
  <r>
    <n v="1378"/>
    <x v="74"/>
    <s v="CUST-1037"/>
    <x v="6"/>
    <x v="0"/>
    <n v="4"/>
    <n v="14000"/>
    <n v="0.15"/>
    <n v="47600"/>
    <n v="7280"/>
    <x v="1"/>
    <x v="1"/>
    <s v="Consumer"/>
    <x v="0"/>
  </r>
  <r>
    <n v="1379"/>
    <x v="194"/>
    <s v="CUST-1192"/>
    <x v="2"/>
    <x v="0"/>
    <n v="4"/>
    <n v="16000"/>
    <n v="0.1"/>
    <n v="57600"/>
    <n v="11520"/>
    <x v="7"/>
    <x v="1"/>
    <s v="Home Office"/>
    <x v="0"/>
  </r>
  <r>
    <n v="1380"/>
    <x v="129"/>
    <s v="CUST-1152"/>
    <x v="7"/>
    <x v="0"/>
    <n v="6"/>
    <n v="2500"/>
    <n v="0.15"/>
    <n v="12750"/>
    <n v="1950"/>
    <x v="6"/>
    <x v="3"/>
    <s v="Corporate"/>
    <x v="2"/>
  </r>
  <r>
    <n v="1381"/>
    <x v="185"/>
    <s v="CUST-1180"/>
    <x v="8"/>
    <x v="1"/>
    <n v="3"/>
    <n v="9000"/>
    <n v="0.1"/>
    <n v="24300"/>
    <n v="4860"/>
    <x v="5"/>
    <x v="1"/>
    <s v="Corporate"/>
    <x v="3"/>
  </r>
  <r>
    <n v="1382"/>
    <x v="195"/>
    <s v="CUST-1200"/>
    <x v="6"/>
    <x v="0"/>
    <n v="1"/>
    <n v="14000"/>
    <n v="0.05"/>
    <n v="13300"/>
    <n v="3220"/>
    <x v="3"/>
    <x v="0"/>
    <s v="Consumer"/>
    <x v="0"/>
  </r>
  <r>
    <n v="1383"/>
    <x v="196"/>
    <s v="CUST-1031"/>
    <x v="9"/>
    <x v="2"/>
    <n v="4"/>
    <n v="180"/>
    <n v="0.1"/>
    <n v="648"/>
    <n v="129.6"/>
    <x v="5"/>
    <x v="1"/>
    <s v="Consumer"/>
    <x v="3"/>
  </r>
  <r>
    <n v="1384"/>
    <x v="162"/>
    <s v="CUST-1041"/>
    <x v="9"/>
    <x v="2"/>
    <n v="3"/>
    <n v="180"/>
    <n v="0"/>
    <n v="540"/>
    <n v="151.19999999999999"/>
    <x v="6"/>
    <x v="3"/>
    <s v="Home Office"/>
    <x v="1"/>
  </r>
  <r>
    <n v="1385"/>
    <x v="197"/>
    <s v="CUST-1183"/>
    <x v="6"/>
    <x v="0"/>
    <n v="3"/>
    <n v="14000"/>
    <n v="0.05"/>
    <n v="39900"/>
    <n v="9660"/>
    <x v="6"/>
    <x v="3"/>
    <s v="Corporate"/>
    <x v="3"/>
  </r>
  <r>
    <n v="1386"/>
    <x v="139"/>
    <s v="CUST-1045"/>
    <x v="0"/>
    <x v="0"/>
    <n v="6"/>
    <n v="55000"/>
    <n v="0.1"/>
    <n v="297000"/>
    <n v="59400"/>
    <x v="9"/>
    <x v="3"/>
    <s v="Corporate"/>
    <x v="3"/>
  </r>
  <r>
    <n v="1387"/>
    <x v="41"/>
    <s v="CUST-1032"/>
    <x v="4"/>
    <x v="0"/>
    <n v="4"/>
    <n v="22000"/>
    <n v="0"/>
    <n v="88000"/>
    <n v="24640"/>
    <x v="3"/>
    <x v="0"/>
    <s v="Consumer"/>
    <x v="2"/>
  </r>
  <r>
    <n v="1388"/>
    <x v="156"/>
    <s v="CUST-1150"/>
    <x v="6"/>
    <x v="0"/>
    <n v="4"/>
    <n v="14000"/>
    <n v="0.1"/>
    <n v="50400"/>
    <n v="10080"/>
    <x v="6"/>
    <x v="3"/>
    <s v="Consumer"/>
    <x v="0"/>
  </r>
  <r>
    <n v="1389"/>
    <x v="198"/>
    <s v="CUST-1024"/>
    <x v="6"/>
    <x v="0"/>
    <n v="6"/>
    <n v="14000"/>
    <n v="0.15"/>
    <n v="71400"/>
    <n v="10920"/>
    <x v="3"/>
    <x v="0"/>
    <s v="Consumer"/>
    <x v="0"/>
  </r>
  <r>
    <n v="1390"/>
    <x v="199"/>
    <s v="CUST-1128"/>
    <x v="0"/>
    <x v="0"/>
    <n v="2"/>
    <n v="55000"/>
    <n v="0.15"/>
    <n v="93500"/>
    <n v="14300"/>
    <x v="5"/>
    <x v="1"/>
    <s v="Corporate"/>
    <x v="3"/>
  </r>
  <r>
    <n v="1391"/>
    <x v="127"/>
    <s v="CUST-1072"/>
    <x v="3"/>
    <x v="1"/>
    <n v="2"/>
    <n v="12000"/>
    <n v="0.05"/>
    <n v="22800"/>
    <n v="5520"/>
    <x v="9"/>
    <x v="3"/>
    <s v="Consumer"/>
    <x v="0"/>
  </r>
  <r>
    <n v="1392"/>
    <x v="35"/>
    <s v="CUST-1123"/>
    <x v="8"/>
    <x v="1"/>
    <n v="4"/>
    <n v="9000"/>
    <n v="0.15"/>
    <n v="30600"/>
    <n v="4680"/>
    <x v="4"/>
    <x v="1"/>
    <s v="Consumer"/>
    <x v="4"/>
  </r>
  <r>
    <n v="1393"/>
    <x v="189"/>
    <s v="CUST-1064"/>
    <x v="7"/>
    <x v="0"/>
    <n v="4"/>
    <n v="2500"/>
    <n v="0.05"/>
    <n v="9500"/>
    <n v="2300"/>
    <x v="4"/>
    <x v="1"/>
    <s v="Corporate"/>
    <x v="4"/>
  </r>
  <r>
    <n v="1394"/>
    <x v="146"/>
    <s v="CUST-1129"/>
    <x v="2"/>
    <x v="0"/>
    <n v="4"/>
    <n v="16000"/>
    <n v="0.1"/>
    <n v="57600"/>
    <n v="11520"/>
    <x v="2"/>
    <x v="2"/>
    <s v="Corporate"/>
    <x v="4"/>
  </r>
  <r>
    <n v="1395"/>
    <x v="180"/>
    <s v="CUST-1200"/>
    <x v="0"/>
    <x v="0"/>
    <n v="3"/>
    <n v="55000"/>
    <n v="0.05"/>
    <n v="156750"/>
    <n v="37950"/>
    <x v="1"/>
    <x v="1"/>
    <s v="Consumer"/>
    <x v="3"/>
  </r>
  <r>
    <n v="1396"/>
    <x v="74"/>
    <s v="CUST-1026"/>
    <x v="3"/>
    <x v="1"/>
    <n v="5"/>
    <n v="12000"/>
    <n v="0.05"/>
    <n v="57000"/>
    <n v="13800"/>
    <x v="3"/>
    <x v="0"/>
    <s v="Home Office"/>
    <x v="2"/>
  </r>
  <r>
    <n v="1397"/>
    <x v="150"/>
    <s v="CUST-1148"/>
    <x v="2"/>
    <x v="0"/>
    <n v="6"/>
    <n v="16000"/>
    <n v="0"/>
    <n v="96000"/>
    <n v="26880"/>
    <x v="0"/>
    <x v="0"/>
    <s v="Corporate"/>
    <x v="2"/>
  </r>
  <r>
    <n v="1398"/>
    <x v="42"/>
    <s v="CUST-1152"/>
    <x v="6"/>
    <x v="0"/>
    <n v="5"/>
    <n v="14000"/>
    <n v="0.1"/>
    <n v="63000"/>
    <n v="12600"/>
    <x v="10"/>
    <x v="2"/>
    <s v="Home Office"/>
    <x v="4"/>
  </r>
  <r>
    <n v="1399"/>
    <x v="132"/>
    <s v="CUST-1080"/>
    <x v="1"/>
    <x v="0"/>
    <n v="2"/>
    <n v="1800"/>
    <n v="0.15"/>
    <n v="3060"/>
    <n v="468"/>
    <x v="4"/>
    <x v="1"/>
    <s v="Corporate"/>
    <x v="0"/>
  </r>
  <r>
    <n v="1400"/>
    <x v="106"/>
    <s v="CUST-1135"/>
    <x v="0"/>
    <x v="0"/>
    <n v="2"/>
    <n v="55000"/>
    <n v="0.05"/>
    <n v="104500"/>
    <n v="25300"/>
    <x v="1"/>
    <x v="1"/>
    <s v="Consumer"/>
    <x v="4"/>
  </r>
  <r>
    <n v="1401"/>
    <x v="200"/>
    <s v="CUST-1016"/>
    <x v="7"/>
    <x v="0"/>
    <n v="3"/>
    <n v="2500"/>
    <n v="0.05"/>
    <n v="7125"/>
    <n v="1725"/>
    <x v="10"/>
    <x v="2"/>
    <s v="Consumer"/>
    <x v="1"/>
  </r>
  <r>
    <n v="1402"/>
    <x v="132"/>
    <s v="CUST-1096"/>
    <x v="4"/>
    <x v="0"/>
    <n v="5"/>
    <n v="22000"/>
    <n v="0.1"/>
    <n v="99000"/>
    <n v="19800"/>
    <x v="6"/>
    <x v="3"/>
    <s v="Home Office"/>
    <x v="0"/>
  </r>
  <r>
    <n v="1403"/>
    <x v="158"/>
    <s v="CUST-1188"/>
    <x v="8"/>
    <x v="1"/>
    <n v="3"/>
    <n v="9000"/>
    <n v="0.05"/>
    <n v="25650"/>
    <n v="6210"/>
    <x v="3"/>
    <x v="0"/>
    <s v="Home Office"/>
    <x v="3"/>
  </r>
  <r>
    <n v="1404"/>
    <x v="201"/>
    <s v="CUST-1171"/>
    <x v="7"/>
    <x v="0"/>
    <n v="6"/>
    <n v="2500"/>
    <n v="0.1"/>
    <n v="13500"/>
    <n v="2700"/>
    <x v="0"/>
    <x v="0"/>
    <s v="Corporate"/>
    <x v="4"/>
  </r>
  <r>
    <n v="1405"/>
    <x v="202"/>
    <s v="CUST-1101"/>
    <x v="7"/>
    <x v="0"/>
    <n v="2"/>
    <n v="2500"/>
    <n v="0"/>
    <n v="5000"/>
    <n v="1400"/>
    <x v="2"/>
    <x v="2"/>
    <s v="Consumer"/>
    <x v="1"/>
  </r>
  <r>
    <n v="1406"/>
    <x v="201"/>
    <s v="CUST-1037"/>
    <x v="1"/>
    <x v="0"/>
    <n v="2"/>
    <n v="1800"/>
    <n v="0"/>
    <n v="3600"/>
    <n v="1008"/>
    <x v="7"/>
    <x v="1"/>
    <s v="Home Office"/>
    <x v="0"/>
  </r>
  <r>
    <n v="1407"/>
    <x v="185"/>
    <s v="CUST-1182"/>
    <x v="3"/>
    <x v="1"/>
    <n v="3"/>
    <n v="12000"/>
    <n v="0.05"/>
    <n v="34200"/>
    <n v="8280"/>
    <x v="6"/>
    <x v="3"/>
    <s v="Corporate"/>
    <x v="0"/>
  </r>
  <r>
    <n v="1408"/>
    <x v="28"/>
    <s v="CUST-1066"/>
    <x v="6"/>
    <x v="0"/>
    <n v="2"/>
    <n v="14000"/>
    <n v="0"/>
    <n v="28000"/>
    <n v="7840"/>
    <x v="10"/>
    <x v="2"/>
    <s v="Home Office"/>
    <x v="0"/>
  </r>
  <r>
    <n v="1409"/>
    <x v="203"/>
    <s v="CUST-1106"/>
    <x v="5"/>
    <x v="2"/>
    <n v="4"/>
    <n v="120"/>
    <n v="0.15"/>
    <n v="408"/>
    <n v="62.4"/>
    <x v="3"/>
    <x v="0"/>
    <s v="Corporate"/>
    <x v="4"/>
  </r>
  <r>
    <n v="1410"/>
    <x v="133"/>
    <s v="CUST-1116"/>
    <x v="4"/>
    <x v="0"/>
    <n v="4"/>
    <n v="22000"/>
    <n v="0.05"/>
    <n v="83600"/>
    <n v="20240"/>
    <x v="3"/>
    <x v="0"/>
    <s v="Consumer"/>
    <x v="4"/>
  </r>
  <r>
    <n v="1411"/>
    <x v="64"/>
    <s v="CUST-1088"/>
    <x v="3"/>
    <x v="1"/>
    <n v="3"/>
    <n v="12000"/>
    <n v="0"/>
    <n v="36000"/>
    <n v="10080"/>
    <x v="6"/>
    <x v="3"/>
    <s v="Corporate"/>
    <x v="2"/>
  </r>
  <r>
    <n v="1412"/>
    <x v="66"/>
    <s v="CUST-1158"/>
    <x v="2"/>
    <x v="0"/>
    <n v="1"/>
    <n v="16000"/>
    <n v="0.1"/>
    <n v="14400"/>
    <n v="2880"/>
    <x v="2"/>
    <x v="2"/>
    <s v="Home Office"/>
    <x v="0"/>
  </r>
  <r>
    <n v="1413"/>
    <x v="113"/>
    <s v="CUST-1014"/>
    <x v="7"/>
    <x v="0"/>
    <n v="5"/>
    <n v="2500"/>
    <n v="0.15"/>
    <n v="10625"/>
    <n v="1625"/>
    <x v="3"/>
    <x v="0"/>
    <s v="Corporate"/>
    <x v="2"/>
  </r>
  <r>
    <n v="1414"/>
    <x v="148"/>
    <s v="CUST-1077"/>
    <x v="5"/>
    <x v="2"/>
    <n v="6"/>
    <n v="120"/>
    <n v="0.1"/>
    <n v="648"/>
    <n v="129.6"/>
    <x v="9"/>
    <x v="3"/>
    <s v="Consumer"/>
    <x v="0"/>
  </r>
  <r>
    <n v="1415"/>
    <x v="204"/>
    <s v="CUST-1014"/>
    <x v="1"/>
    <x v="0"/>
    <n v="5"/>
    <n v="1800"/>
    <n v="0.15"/>
    <n v="7650"/>
    <n v="1170"/>
    <x v="3"/>
    <x v="0"/>
    <s v="Consumer"/>
    <x v="3"/>
  </r>
  <r>
    <n v="1416"/>
    <x v="1"/>
    <s v="CUST-1025"/>
    <x v="8"/>
    <x v="1"/>
    <n v="6"/>
    <n v="9000"/>
    <n v="0.15"/>
    <n v="45900"/>
    <n v="7020"/>
    <x v="0"/>
    <x v="0"/>
    <s v="Consumer"/>
    <x v="2"/>
  </r>
  <r>
    <n v="1417"/>
    <x v="205"/>
    <s v="CUST-1102"/>
    <x v="4"/>
    <x v="0"/>
    <n v="4"/>
    <n v="22000"/>
    <n v="0"/>
    <n v="88000"/>
    <n v="24640"/>
    <x v="9"/>
    <x v="3"/>
    <s v="Corporate"/>
    <x v="4"/>
  </r>
  <r>
    <n v="1418"/>
    <x v="106"/>
    <s v="CUST-1098"/>
    <x v="2"/>
    <x v="0"/>
    <n v="4"/>
    <n v="16000"/>
    <n v="0.05"/>
    <n v="60800"/>
    <n v="14720"/>
    <x v="10"/>
    <x v="2"/>
    <s v="Consumer"/>
    <x v="3"/>
  </r>
  <r>
    <n v="1419"/>
    <x v="206"/>
    <s v="CUST-1058"/>
    <x v="8"/>
    <x v="1"/>
    <n v="4"/>
    <n v="9000"/>
    <n v="0.15"/>
    <n v="30600"/>
    <n v="4680"/>
    <x v="9"/>
    <x v="3"/>
    <s v="Home Office"/>
    <x v="0"/>
  </r>
  <r>
    <n v="1420"/>
    <x v="207"/>
    <s v="CUST-1106"/>
    <x v="4"/>
    <x v="0"/>
    <n v="1"/>
    <n v="22000"/>
    <n v="0.1"/>
    <n v="19800"/>
    <n v="3960"/>
    <x v="4"/>
    <x v="1"/>
    <s v="Home Office"/>
    <x v="0"/>
  </r>
  <r>
    <n v="1421"/>
    <x v="208"/>
    <s v="CUST-1061"/>
    <x v="2"/>
    <x v="0"/>
    <n v="4"/>
    <n v="16000"/>
    <n v="0.15"/>
    <n v="54400"/>
    <n v="8320"/>
    <x v="2"/>
    <x v="2"/>
    <s v="Corporate"/>
    <x v="0"/>
  </r>
  <r>
    <n v="1422"/>
    <x v="33"/>
    <s v="CUST-1194"/>
    <x v="0"/>
    <x v="0"/>
    <n v="5"/>
    <n v="55000"/>
    <n v="0.05"/>
    <n v="261250"/>
    <n v="63250"/>
    <x v="6"/>
    <x v="3"/>
    <s v="Consumer"/>
    <x v="2"/>
  </r>
  <r>
    <n v="1423"/>
    <x v="10"/>
    <s v="CUST-1021"/>
    <x v="6"/>
    <x v="0"/>
    <n v="2"/>
    <n v="14000"/>
    <n v="0"/>
    <n v="28000"/>
    <n v="7840"/>
    <x v="5"/>
    <x v="1"/>
    <s v="Consumer"/>
    <x v="2"/>
  </r>
  <r>
    <n v="1424"/>
    <x v="71"/>
    <s v="CUST-1100"/>
    <x v="3"/>
    <x v="1"/>
    <n v="6"/>
    <n v="12000"/>
    <n v="0"/>
    <n v="72000"/>
    <n v="20160"/>
    <x v="6"/>
    <x v="3"/>
    <s v="Home Office"/>
    <x v="4"/>
  </r>
  <r>
    <n v="1425"/>
    <x v="209"/>
    <s v="CUST-1151"/>
    <x v="2"/>
    <x v="0"/>
    <n v="4"/>
    <n v="16000"/>
    <n v="0"/>
    <n v="64000"/>
    <n v="17920"/>
    <x v="2"/>
    <x v="2"/>
    <s v="Consumer"/>
    <x v="3"/>
  </r>
  <r>
    <n v="1426"/>
    <x v="210"/>
    <s v="CUST-1145"/>
    <x v="7"/>
    <x v="0"/>
    <n v="5"/>
    <n v="2500"/>
    <n v="0"/>
    <n v="12500"/>
    <n v="3500"/>
    <x v="6"/>
    <x v="3"/>
    <s v="Corporate"/>
    <x v="1"/>
  </r>
  <r>
    <n v="1427"/>
    <x v="100"/>
    <s v="CUST-1147"/>
    <x v="5"/>
    <x v="2"/>
    <n v="3"/>
    <n v="120"/>
    <n v="0.15"/>
    <n v="306"/>
    <n v="46.8"/>
    <x v="7"/>
    <x v="1"/>
    <s v="Consumer"/>
    <x v="2"/>
  </r>
  <r>
    <n v="1428"/>
    <x v="209"/>
    <s v="CUST-1102"/>
    <x v="5"/>
    <x v="2"/>
    <n v="2"/>
    <n v="120"/>
    <n v="0.15"/>
    <n v="204"/>
    <n v="31.2"/>
    <x v="1"/>
    <x v="1"/>
    <s v="Home Office"/>
    <x v="2"/>
  </r>
  <r>
    <n v="1429"/>
    <x v="211"/>
    <s v="CUST-1087"/>
    <x v="9"/>
    <x v="2"/>
    <n v="3"/>
    <n v="180"/>
    <n v="0.1"/>
    <n v="486"/>
    <n v="97.2"/>
    <x v="1"/>
    <x v="1"/>
    <s v="Corporate"/>
    <x v="4"/>
  </r>
  <r>
    <n v="1430"/>
    <x v="111"/>
    <s v="CUST-1191"/>
    <x v="4"/>
    <x v="0"/>
    <n v="2"/>
    <n v="22000"/>
    <n v="0.05"/>
    <n v="41800"/>
    <n v="10120"/>
    <x v="9"/>
    <x v="3"/>
    <s v="Corporate"/>
    <x v="4"/>
  </r>
  <r>
    <n v="1431"/>
    <x v="143"/>
    <s v="CUST-1114"/>
    <x v="1"/>
    <x v="0"/>
    <n v="6"/>
    <n v="1800"/>
    <n v="0"/>
    <n v="10800"/>
    <n v="3024"/>
    <x v="0"/>
    <x v="0"/>
    <s v="Corporate"/>
    <x v="3"/>
  </r>
  <r>
    <n v="1432"/>
    <x v="157"/>
    <s v="CUST-1080"/>
    <x v="3"/>
    <x v="1"/>
    <n v="1"/>
    <n v="12000"/>
    <n v="0.05"/>
    <n v="11400"/>
    <n v="2760"/>
    <x v="6"/>
    <x v="3"/>
    <s v="Consumer"/>
    <x v="1"/>
  </r>
  <r>
    <n v="1433"/>
    <x v="61"/>
    <s v="CUST-1064"/>
    <x v="7"/>
    <x v="0"/>
    <n v="2"/>
    <n v="2500"/>
    <n v="0.05"/>
    <n v="4750"/>
    <n v="1150"/>
    <x v="1"/>
    <x v="1"/>
    <s v="Corporate"/>
    <x v="0"/>
  </r>
  <r>
    <n v="1434"/>
    <x v="182"/>
    <s v="CUST-1130"/>
    <x v="6"/>
    <x v="0"/>
    <n v="3"/>
    <n v="14000"/>
    <n v="0.1"/>
    <n v="37800"/>
    <n v="7560"/>
    <x v="7"/>
    <x v="1"/>
    <s v="Home Office"/>
    <x v="0"/>
  </r>
  <r>
    <n v="1435"/>
    <x v="117"/>
    <s v="CUST-1115"/>
    <x v="6"/>
    <x v="0"/>
    <n v="3"/>
    <n v="14000"/>
    <n v="0.15"/>
    <n v="35700"/>
    <n v="5460"/>
    <x v="2"/>
    <x v="2"/>
    <s v="Corporate"/>
    <x v="1"/>
  </r>
  <r>
    <n v="1436"/>
    <x v="45"/>
    <s v="CUST-1073"/>
    <x v="3"/>
    <x v="1"/>
    <n v="2"/>
    <n v="12000"/>
    <n v="0.1"/>
    <n v="21600"/>
    <n v="4320"/>
    <x v="6"/>
    <x v="3"/>
    <s v="Corporate"/>
    <x v="0"/>
  </r>
  <r>
    <n v="1437"/>
    <x v="212"/>
    <s v="CUST-1174"/>
    <x v="1"/>
    <x v="0"/>
    <n v="2"/>
    <n v="1800"/>
    <n v="0.05"/>
    <n v="3420"/>
    <n v="828"/>
    <x v="0"/>
    <x v="0"/>
    <s v="Corporate"/>
    <x v="3"/>
  </r>
  <r>
    <n v="1438"/>
    <x v="139"/>
    <s v="CUST-1034"/>
    <x v="0"/>
    <x v="0"/>
    <n v="6"/>
    <n v="55000"/>
    <n v="0"/>
    <n v="330000"/>
    <n v="92400"/>
    <x v="7"/>
    <x v="1"/>
    <s v="Home Office"/>
    <x v="0"/>
  </r>
  <r>
    <n v="1439"/>
    <x v="213"/>
    <s v="CUST-1109"/>
    <x v="8"/>
    <x v="1"/>
    <n v="5"/>
    <n v="9000"/>
    <n v="0.1"/>
    <n v="40500"/>
    <n v="8100"/>
    <x v="9"/>
    <x v="3"/>
    <s v="Corporate"/>
    <x v="3"/>
  </r>
  <r>
    <n v="1440"/>
    <x v="214"/>
    <s v="CUST-1160"/>
    <x v="6"/>
    <x v="0"/>
    <n v="4"/>
    <n v="14000"/>
    <n v="0.1"/>
    <n v="50400"/>
    <n v="10080"/>
    <x v="4"/>
    <x v="1"/>
    <s v="Home Office"/>
    <x v="0"/>
  </r>
  <r>
    <n v="1441"/>
    <x v="120"/>
    <s v="CUST-1166"/>
    <x v="2"/>
    <x v="0"/>
    <n v="6"/>
    <n v="16000"/>
    <n v="0.1"/>
    <n v="86400"/>
    <n v="17280"/>
    <x v="4"/>
    <x v="1"/>
    <s v="Corporate"/>
    <x v="0"/>
  </r>
  <r>
    <n v="1442"/>
    <x v="215"/>
    <s v="CUST-1071"/>
    <x v="4"/>
    <x v="0"/>
    <n v="3"/>
    <n v="22000"/>
    <n v="0.1"/>
    <n v="59400"/>
    <n v="11880"/>
    <x v="10"/>
    <x v="2"/>
    <s v="Home Office"/>
    <x v="4"/>
  </r>
  <r>
    <n v="1443"/>
    <x v="92"/>
    <s v="CUST-1154"/>
    <x v="7"/>
    <x v="0"/>
    <n v="5"/>
    <n v="2500"/>
    <n v="0.05"/>
    <n v="11875"/>
    <n v="2875"/>
    <x v="1"/>
    <x v="1"/>
    <s v="Home Office"/>
    <x v="4"/>
  </r>
  <r>
    <n v="1444"/>
    <x v="141"/>
    <s v="CUST-1067"/>
    <x v="0"/>
    <x v="0"/>
    <n v="6"/>
    <n v="55000"/>
    <n v="0.15"/>
    <n v="280500"/>
    <n v="42900"/>
    <x v="9"/>
    <x v="3"/>
    <s v="Corporate"/>
    <x v="3"/>
  </r>
  <r>
    <n v="1445"/>
    <x v="216"/>
    <s v="CUST-1186"/>
    <x v="1"/>
    <x v="0"/>
    <n v="6"/>
    <n v="1800"/>
    <n v="0.05"/>
    <n v="10260"/>
    <n v="2484"/>
    <x v="10"/>
    <x v="2"/>
    <s v="Home Office"/>
    <x v="1"/>
  </r>
  <r>
    <n v="1446"/>
    <x v="128"/>
    <s v="CUST-1169"/>
    <x v="3"/>
    <x v="1"/>
    <n v="5"/>
    <n v="12000"/>
    <n v="0.1"/>
    <n v="54000"/>
    <n v="10800"/>
    <x v="3"/>
    <x v="0"/>
    <s v="Corporate"/>
    <x v="0"/>
  </r>
  <r>
    <n v="1447"/>
    <x v="89"/>
    <s v="CUST-1196"/>
    <x v="7"/>
    <x v="0"/>
    <n v="6"/>
    <n v="2500"/>
    <n v="0.1"/>
    <n v="13500"/>
    <n v="2700"/>
    <x v="4"/>
    <x v="1"/>
    <s v="Home Office"/>
    <x v="4"/>
  </r>
  <r>
    <n v="1448"/>
    <x v="217"/>
    <s v="CUST-1108"/>
    <x v="6"/>
    <x v="0"/>
    <n v="3"/>
    <n v="14000"/>
    <n v="0.05"/>
    <n v="39900"/>
    <n v="9660"/>
    <x v="9"/>
    <x v="3"/>
    <s v="Corporate"/>
    <x v="4"/>
  </r>
  <r>
    <n v="1449"/>
    <x v="202"/>
    <s v="CUST-1163"/>
    <x v="9"/>
    <x v="2"/>
    <n v="1"/>
    <n v="180"/>
    <n v="0.15"/>
    <n v="153"/>
    <n v="23.4"/>
    <x v="1"/>
    <x v="1"/>
    <s v="Corporate"/>
    <x v="2"/>
  </r>
  <r>
    <n v="1450"/>
    <x v="121"/>
    <s v="CUST-1077"/>
    <x v="4"/>
    <x v="0"/>
    <n v="6"/>
    <n v="22000"/>
    <n v="0.15"/>
    <n v="112200"/>
    <n v="17160"/>
    <x v="4"/>
    <x v="1"/>
    <s v="Consumer"/>
    <x v="2"/>
  </r>
  <r>
    <n v="1451"/>
    <x v="103"/>
    <s v="CUST-1118"/>
    <x v="6"/>
    <x v="0"/>
    <n v="3"/>
    <n v="14000"/>
    <n v="0.15"/>
    <n v="35700"/>
    <n v="5460"/>
    <x v="2"/>
    <x v="2"/>
    <s v="Corporate"/>
    <x v="2"/>
  </r>
  <r>
    <n v="1452"/>
    <x v="57"/>
    <s v="CUST-1163"/>
    <x v="9"/>
    <x v="2"/>
    <n v="3"/>
    <n v="180"/>
    <n v="0.05"/>
    <n v="513"/>
    <n v="124.2"/>
    <x v="10"/>
    <x v="2"/>
    <s v="Consumer"/>
    <x v="3"/>
  </r>
  <r>
    <n v="1453"/>
    <x v="112"/>
    <s v="CUST-1196"/>
    <x v="6"/>
    <x v="0"/>
    <n v="2"/>
    <n v="14000"/>
    <n v="0.05"/>
    <n v="26600"/>
    <n v="6440"/>
    <x v="7"/>
    <x v="1"/>
    <s v="Consumer"/>
    <x v="1"/>
  </r>
  <r>
    <n v="1454"/>
    <x v="218"/>
    <s v="CUST-1099"/>
    <x v="5"/>
    <x v="2"/>
    <n v="4"/>
    <n v="120"/>
    <n v="0.15"/>
    <n v="408"/>
    <n v="62.4"/>
    <x v="7"/>
    <x v="1"/>
    <s v="Consumer"/>
    <x v="1"/>
  </r>
  <r>
    <n v="1455"/>
    <x v="147"/>
    <s v="CUST-1049"/>
    <x v="3"/>
    <x v="1"/>
    <n v="1"/>
    <n v="12000"/>
    <n v="0.1"/>
    <n v="10800"/>
    <n v="2160"/>
    <x v="4"/>
    <x v="1"/>
    <s v="Home Office"/>
    <x v="0"/>
  </r>
  <r>
    <n v="1456"/>
    <x v="41"/>
    <s v="CUST-1034"/>
    <x v="6"/>
    <x v="0"/>
    <n v="6"/>
    <n v="14000"/>
    <n v="0.1"/>
    <n v="75600"/>
    <n v="15120"/>
    <x v="9"/>
    <x v="3"/>
    <s v="Corporate"/>
    <x v="1"/>
  </r>
  <r>
    <n v="1457"/>
    <x v="219"/>
    <s v="CUST-1075"/>
    <x v="7"/>
    <x v="0"/>
    <n v="1"/>
    <n v="2500"/>
    <n v="0"/>
    <n v="2500"/>
    <n v="700"/>
    <x v="9"/>
    <x v="3"/>
    <s v="Home Office"/>
    <x v="1"/>
  </r>
  <r>
    <n v="1458"/>
    <x v="169"/>
    <s v="CUST-1126"/>
    <x v="3"/>
    <x v="1"/>
    <n v="4"/>
    <n v="12000"/>
    <n v="0.05"/>
    <n v="45600"/>
    <n v="11040"/>
    <x v="10"/>
    <x v="2"/>
    <s v="Consumer"/>
    <x v="2"/>
  </r>
  <r>
    <n v="1459"/>
    <x v="220"/>
    <s v="CUST-1055"/>
    <x v="0"/>
    <x v="0"/>
    <n v="2"/>
    <n v="55000"/>
    <n v="0.05"/>
    <n v="104500"/>
    <n v="25300"/>
    <x v="3"/>
    <x v="0"/>
    <s v="Home Office"/>
    <x v="1"/>
  </r>
  <r>
    <n v="1460"/>
    <x v="186"/>
    <s v="CUST-1164"/>
    <x v="4"/>
    <x v="0"/>
    <n v="3"/>
    <n v="22000"/>
    <n v="0"/>
    <n v="66000"/>
    <n v="18480"/>
    <x v="5"/>
    <x v="1"/>
    <s v="Home Office"/>
    <x v="1"/>
  </r>
  <r>
    <n v="1461"/>
    <x v="203"/>
    <s v="CUST-1013"/>
    <x v="1"/>
    <x v="0"/>
    <n v="1"/>
    <n v="1800"/>
    <n v="0"/>
    <n v="1800"/>
    <n v="504"/>
    <x v="1"/>
    <x v="1"/>
    <s v="Corporate"/>
    <x v="3"/>
  </r>
  <r>
    <n v="1462"/>
    <x v="4"/>
    <s v="CUST-1180"/>
    <x v="4"/>
    <x v="0"/>
    <n v="5"/>
    <n v="22000"/>
    <n v="0.1"/>
    <n v="99000"/>
    <n v="19800"/>
    <x v="7"/>
    <x v="1"/>
    <s v="Consumer"/>
    <x v="0"/>
  </r>
  <r>
    <n v="1463"/>
    <x v="221"/>
    <s v="CUST-1070"/>
    <x v="5"/>
    <x v="2"/>
    <n v="6"/>
    <n v="120"/>
    <n v="0"/>
    <n v="720"/>
    <n v="201.6"/>
    <x v="4"/>
    <x v="1"/>
    <s v="Corporate"/>
    <x v="0"/>
  </r>
  <r>
    <n v="1464"/>
    <x v="46"/>
    <s v="CUST-1028"/>
    <x v="1"/>
    <x v="0"/>
    <n v="1"/>
    <n v="1800"/>
    <n v="0.1"/>
    <n v="1620"/>
    <n v="324"/>
    <x v="6"/>
    <x v="3"/>
    <s v="Consumer"/>
    <x v="1"/>
  </r>
  <r>
    <n v="1465"/>
    <x v="147"/>
    <s v="CUST-1181"/>
    <x v="8"/>
    <x v="1"/>
    <n v="5"/>
    <n v="9000"/>
    <n v="0.05"/>
    <n v="42750"/>
    <n v="10350"/>
    <x v="10"/>
    <x v="2"/>
    <s v="Corporate"/>
    <x v="2"/>
  </r>
  <r>
    <n v="1466"/>
    <x v="197"/>
    <s v="CUST-1085"/>
    <x v="2"/>
    <x v="0"/>
    <n v="4"/>
    <n v="16000"/>
    <n v="0.05"/>
    <n v="60800"/>
    <n v="14720"/>
    <x v="7"/>
    <x v="1"/>
    <s v="Consumer"/>
    <x v="0"/>
  </r>
  <r>
    <n v="1467"/>
    <x v="217"/>
    <s v="CUST-1024"/>
    <x v="4"/>
    <x v="0"/>
    <n v="5"/>
    <n v="22000"/>
    <n v="0.15"/>
    <n v="93500"/>
    <n v="14300"/>
    <x v="3"/>
    <x v="0"/>
    <s v="Home Office"/>
    <x v="0"/>
  </r>
  <r>
    <n v="1468"/>
    <x v="177"/>
    <s v="CUST-1119"/>
    <x v="6"/>
    <x v="0"/>
    <n v="4"/>
    <n v="14000"/>
    <n v="0.1"/>
    <n v="50400"/>
    <n v="10080"/>
    <x v="9"/>
    <x v="3"/>
    <s v="Consumer"/>
    <x v="2"/>
  </r>
  <r>
    <n v="1469"/>
    <x v="197"/>
    <s v="CUST-1190"/>
    <x v="8"/>
    <x v="1"/>
    <n v="3"/>
    <n v="9000"/>
    <n v="0.1"/>
    <n v="24300"/>
    <n v="4860"/>
    <x v="5"/>
    <x v="1"/>
    <s v="Consumer"/>
    <x v="0"/>
  </r>
  <r>
    <n v="1470"/>
    <x v="36"/>
    <s v="CUST-1092"/>
    <x v="7"/>
    <x v="0"/>
    <n v="6"/>
    <n v="2500"/>
    <n v="0.05"/>
    <n v="14250"/>
    <n v="3450"/>
    <x v="10"/>
    <x v="2"/>
    <s v="Home Office"/>
    <x v="4"/>
  </r>
  <r>
    <n v="1471"/>
    <x v="73"/>
    <s v="CUST-1103"/>
    <x v="3"/>
    <x v="1"/>
    <n v="3"/>
    <n v="12000"/>
    <n v="0.05"/>
    <n v="34200"/>
    <n v="8280"/>
    <x v="6"/>
    <x v="3"/>
    <s v="Corporate"/>
    <x v="4"/>
  </r>
  <r>
    <n v="1472"/>
    <x v="190"/>
    <s v="CUST-1034"/>
    <x v="9"/>
    <x v="2"/>
    <n v="4"/>
    <n v="180"/>
    <n v="0.05"/>
    <n v="684"/>
    <n v="165.6"/>
    <x v="6"/>
    <x v="3"/>
    <s v="Consumer"/>
    <x v="0"/>
  </r>
  <r>
    <n v="1473"/>
    <x v="143"/>
    <s v="CUST-1157"/>
    <x v="1"/>
    <x v="0"/>
    <n v="4"/>
    <n v="1800"/>
    <n v="0.15"/>
    <n v="6120"/>
    <n v="936"/>
    <x v="3"/>
    <x v="0"/>
    <s v="Corporate"/>
    <x v="1"/>
  </r>
  <r>
    <n v="1474"/>
    <x v="61"/>
    <s v="CUST-1106"/>
    <x v="7"/>
    <x v="0"/>
    <n v="4"/>
    <n v="2500"/>
    <n v="0.15"/>
    <n v="8500"/>
    <n v="1300"/>
    <x v="6"/>
    <x v="3"/>
    <s v="Consumer"/>
    <x v="0"/>
  </r>
  <r>
    <n v="1475"/>
    <x v="222"/>
    <s v="CUST-1133"/>
    <x v="3"/>
    <x v="1"/>
    <n v="1"/>
    <n v="12000"/>
    <n v="0.05"/>
    <n v="11400"/>
    <n v="2760"/>
    <x v="10"/>
    <x v="2"/>
    <s v="Corporate"/>
    <x v="2"/>
  </r>
  <r>
    <n v="1476"/>
    <x v="215"/>
    <s v="CUST-1143"/>
    <x v="3"/>
    <x v="1"/>
    <n v="6"/>
    <n v="12000"/>
    <n v="0.15"/>
    <n v="61200"/>
    <n v="9360"/>
    <x v="3"/>
    <x v="0"/>
    <s v="Consumer"/>
    <x v="2"/>
  </r>
  <r>
    <n v="1477"/>
    <x v="129"/>
    <s v="CUST-1193"/>
    <x v="9"/>
    <x v="2"/>
    <n v="4"/>
    <n v="180"/>
    <n v="0.05"/>
    <n v="684"/>
    <n v="165.6"/>
    <x v="6"/>
    <x v="3"/>
    <s v="Corporate"/>
    <x v="2"/>
  </r>
  <r>
    <n v="1478"/>
    <x v="94"/>
    <s v="CUST-1165"/>
    <x v="8"/>
    <x v="1"/>
    <n v="1"/>
    <n v="9000"/>
    <n v="0.05"/>
    <n v="8550"/>
    <n v="2070"/>
    <x v="4"/>
    <x v="1"/>
    <s v="Corporate"/>
    <x v="2"/>
  </r>
  <r>
    <n v="1479"/>
    <x v="98"/>
    <s v="CUST-1128"/>
    <x v="9"/>
    <x v="2"/>
    <n v="4"/>
    <n v="180"/>
    <n v="0.15"/>
    <n v="612"/>
    <n v="93.6"/>
    <x v="6"/>
    <x v="3"/>
    <s v="Corporate"/>
    <x v="0"/>
  </r>
  <r>
    <n v="1480"/>
    <x v="223"/>
    <s v="CUST-1010"/>
    <x v="0"/>
    <x v="0"/>
    <n v="1"/>
    <n v="55000"/>
    <n v="0.15"/>
    <n v="46750"/>
    <n v="7150"/>
    <x v="5"/>
    <x v="1"/>
    <s v="Consumer"/>
    <x v="1"/>
  </r>
  <r>
    <n v="1481"/>
    <x v="108"/>
    <s v="CUST-1088"/>
    <x v="2"/>
    <x v="0"/>
    <n v="5"/>
    <n v="16000"/>
    <n v="0.05"/>
    <n v="76000"/>
    <n v="18400"/>
    <x v="7"/>
    <x v="1"/>
    <s v="Consumer"/>
    <x v="2"/>
  </r>
  <r>
    <n v="1482"/>
    <x v="81"/>
    <s v="CUST-1184"/>
    <x v="3"/>
    <x v="1"/>
    <n v="5"/>
    <n v="12000"/>
    <n v="0.15"/>
    <n v="51000"/>
    <n v="7800"/>
    <x v="10"/>
    <x v="2"/>
    <s v="Consumer"/>
    <x v="0"/>
  </r>
  <r>
    <n v="1483"/>
    <x v="125"/>
    <s v="CUST-1141"/>
    <x v="0"/>
    <x v="0"/>
    <n v="3"/>
    <n v="55000"/>
    <n v="0.1"/>
    <n v="148500"/>
    <n v="29700"/>
    <x v="9"/>
    <x v="3"/>
    <s v="Home Office"/>
    <x v="0"/>
  </r>
  <r>
    <n v="1484"/>
    <x v="6"/>
    <s v="CUST-1028"/>
    <x v="7"/>
    <x v="0"/>
    <n v="4"/>
    <n v="2500"/>
    <n v="0.05"/>
    <n v="9500"/>
    <n v="2300"/>
    <x v="5"/>
    <x v="1"/>
    <s v="Home Office"/>
    <x v="2"/>
  </r>
  <r>
    <n v="1485"/>
    <x v="92"/>
    <s v="CUST-1049"/>
    <x v="4"/>
    <x v="0"/>
    <n v="4"/>
    <n v="22000"/>
    <n v="0.05"/>
    <n v="83600"/>
    <n v="20240"/>
    <x v="7"/>
    <x v="1"/>
    <s v="Consumer"/>
    <x v="3"/>
  </r>
  <r>
    <n v="1486"/>
    <x v="6"/>
    <s v="CUST-1169"/>
    <x v="1"/>
    <x v="0"/>
    <n v="1"/>
    <n v="1800"/>
    <n v="0.15"/>
    <n v="1530"/>
    <n v="234"/>
    <x v="7"/>
    <x v="1"/>
    <s v="Corporate"/>
    <x v="0"/>
  </r>
  <r>
    <n v="1487"/>
    <x v="74"/>
    <s v="CUST-1124"/>
    <x v="0"/>
    <x v="0"/>
    <n v="5"/>
    <n v="55000"/>
    <n v="0.15"/>
    <n v="233750"/>
    <n v="35750"/>
    <x v="2"/>
    <x v="2"/>
    <s v="Home Office"/>
    <x v="1"/>
  </r>
  <r>
    <n v="1488"/>
    <x v="127"/>
    <s v="CUST-1156"/>
    <x v="7"/>
    <x v="0"/>
    <n v="1"/>
    <n v="2500"/>
    <n v="0.15"/>
    <n v="2125"/>
    <n v="325"/>
    <x v="2"/>
    <x v="2"/>
    <s v="Home Office"/>
    <x v="3"/>
  </r>
  <r>
    <n v="1489"/>
    <x v="32"/>
    <s v="CUST-1102"/>
    <x v="1"/>
    <x v="0"/>
    <n v="6"/>
    <n v="1800"/>
    <n v="0.05"/>
    <n v="10260"/>
    <n v="2484"/>
    <x v="9"/>
    <x v="3"/>
    <s v="Corporate"/>
    <x v="3"/>
  </r>
  <r>
    <n v="1490"/>
    <x v="159"/>
    <s v="CUST-1081"/>
    <x v="7"/>
    <x v="0"/>
    <n v="4"/>
    <n v="2500"/>
    <n v="0.1"/>
    <n v="9000"/>
    <n v="1800"/>
    <x v="4"/>
    <x v="1"/>
    <s v="Consumer"/>
    <x v="2"/>
  </r>
  <r>
    <n v="1491"/>
    <x v="155"/>
    <s v="CUST-1129"/>
    <x v="3"/>
    <x v="1"/>
    <n v="6"/>
    <n v="12000"/>
    <n v="0.05"/>
    <n v="68400"/>
    <n v="16560"/>
    <x v="3"/>
    <x v="0"/>
    <s v="Home Office"/>
    <x v="0"/>
  </r>
  <r>
    <n v="1492"/>
    <x v="224"/>
    <s v="CUST-1074"/>
    <x v="2"/>
    <x v="0"/>
    <n v="4"/>
    <n v="16000"/>
    <n v="0.15"/>
    <n v="54400"/>
    <n v="8320"/>
    <x v="4"/>
    <x v="1"/>
    <s v="Consumer"/>
    <x v="1"/>
  </r>
  <r>
    <n v="1493"/>
    <x v="124"/>
    <s v="CUST-1172"/>
    <x v="0"/>
    <x v="0"/>
    <n v="4"/>
    <n v="55000"/>
    <n v="0.05"/>
    <n v="209000"/>
    <n v="50600"/>
    <x v="1"/>
    <x v="1"/>
    <s v="Consumer"/>
    <x v="4"/>
  </r>
  <r>
    <n v="1494"/>
    <x v="16"/>
    <s v="CUST-1016"/>
    <x v="8"/>
    <x v="1"/>
    <n v="6"/>
    <n v="9000"/>
    <n v="0.1"/>
    <n v="48600"/>
    <n v="9720"/>
    <x v="3"/>
    <x v="0"/>
    <s v="Consumer"/>
    <x v="1"/>
  </r>
  <r>
    <n v="1495"/>
    <x v="21"/>
    <s v="CUST-1173"/>
    <x v="3"/>
    <x v="1"/>
    <n v="4"/>
    <n v="12000"/>
    <n v="0"/>
    <n v="48000"/>
    <n v="13440"/>
    <x v="2"/>
    <x v="2"/>
    <s v="Home Office"/>
    <x v="1"/>
  </r>
  <r>
    <n v="1496"/>
    <x v="179"/>
    <s v="CUST-1098"/>
    <x v="6"/>
    <x v="0"/>
    <n v="5"/>
    <n v="14000"/>
    <n v="0.1"/>
    <n v="63000"/>
    <n v="12600"/>
    <x v="1"/>
    <x v="1"/>
    <s v="Corporate"/>
    <x v="4"/>
  </r>
  <r>
    <n v="1497"/>
    <x v="140"/>
    <s v="CUST-1159"/>
    <x v="0"/>
    <x v="0"/>
    <n v="6"/>
    <n v="55000"/>
    <n v="0.1"/>
    <n v="297000"/>
    <n v="59400"/>
    <x v="0"/>
    <x v="0"/>
    <s v="Consumer"/>
    <x v="4"/>
  </r>
  <r>
    <n v="1498"/>
    <x v="47"/>
    <s v="CUST-1175"/>
    <x v="6"/>
    <x v="0"/>
    <n v="3"/>
    <n v="14000"/>
    <n v="0.15"/>
    <n v="35700"/>
    <n v="5460"/>
    <x v="3"/>
    <x v="0"/>
    <s v="Consumer"/>
    <x v="2"/>
  </r>
  <r>
    <n v="1499"/>
    <x v="225"/>
    <s v="CUST-1072"/>
    <x v="4"/>
    <x v="0"/>
    <n v="4"/>
    <n v="22000"/>
    <n v="0"/>
    <n v="88000"/>
    <n v="24640"/>
    <x v="5"/>
    <x v="1"/>
    <s v="Consumer"/>
    <x v="2"/>
  </r>
  <r>
    <n v="1500"/>
    <x v="99"/>
    <s v="CUST-1011"/>
    <x v="0"/>
    <x v="0"/>
    <n v="3"/>
    <n v="55000"/>
    <n v="0.15"/>
    <n v="140250"/>
    <n v="21450"/>
    <x v="3"/>
    <x v="0"/>
    <s v="Corporate"/>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7254D91-8BB2-4CFE-B5A3-7C442146EAA6}" name="PivotTable1"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B9" firstHeaderRow="1" firstDataRow="1" firstDataCol="1"/>
  <pivotFields count="16">
    <pivotField showAll="0"/>
    <pivotField numFmtId="14" showAll="0">
      <items count="227">
        <item x="50"/>
        <item x="120"/>
        <item x="36"/>
        <item x="178"/>
        <item x="64"/>
        <item x="101"/>
        <item x="2"/>
        <item x="61"/>
        <item x="117"/>
        <item x="21"/>
        <item x="216"/>
        <item x="168"/>
        <item x="197"/>
        <item x="206"/>
        <item x="6"/>
        <item x="203"/>
        <item x="211"/>
        <item x="63"/>
        <item x="140"/>
        <item x="173"/>
        <item x="192"/>
        <item x="24"/>
        <item x="58"/>
        <item x="198"/>
        <item x="31"/>
        <item x="18"/>
        <item x="78"/>
        <item x="66"/>
        <item x="135"/>
        <item x="98"/>
        <item x="57"/>
        <item x="184"/>
        <item x="1"/>
        <item x="217"/>
        <item x="106"/>
        <item x="73"/>
        <item x="131"/>
        <item x="23"/>
        <item x="26"/>
        <item x="34"/>
        <item x="124"/>
        <item x="43"/>
        <item x="13"/>
        <item x="0"/>
        <item x="105"/>
        <item x="87"/>
        <item x="79"/>
        <item x="67"/>
        <item x="5"/>
        <item x="77"/>
        <item x="156"/>
        <item x="22"/>
        <item x="159"/>
        <item x="187"/>
        <item x="103"/>
        <item x="141"/>
        <item x="132"/>
        <item x="11"/>
        <item x="97"/>
        <item x="40"/>
        <item x="210"/>
        <item x="207"/>
        <item x="69"/>
        <item x="37"/>
        <item x="118"/>
        <item x="55"/>
        <item x="16"/>
        <item x="212"/>
        <item x="196"/>
        <item x="152"/>
        <item x="186"/>
        <item x="8"/>
        <item x="127"/>
        <item x="167"/>
        <item x="42"/>
        <item x="76"/>
        <item x="180"/>
        <item x="62"/>
        <item x="183"/>
        <item x="92"/>
        <item x="148"/>
        <item x="49"/>
        <item x="126"/>
        <item x="47"/>
        <item x="147"/>
        <item x="200"/>
        <item x="10"/>
        <item x="154"/>
        <item x="9"/>
        <item x="125"/>
        <item x="213"/>
        <item x="82"/>
        <item x="44"/>
        <item x="20"/>
        <item x="194"/>
        <item x="96"/>
        <item x="185"/>
        <item x="56"/>
        <item x="142"/>
        <item x="176"/>
        <item x="35"/>
        <item x="172"/>
        <item x="41"/>
        <item x="38"/>
        <item x="214"/>
        <item x="99"/>
        <item x="177"/>
        <item x="71"/>
        <item x="222"/>
        <item x="39"/>
        <item x="28"/>
        <item x="150"/>
        <item x="70"/>
        <item x="166"/>
        <item x="195"/>
        <item x="112"/>
        <item x="209"/>
        <item x="130"/>
        <item x="119"/>
        <item x="102"/>
        <item x="83"/>
        <item x="155"/>
        <item x="205"/>
        <item x="202"/>
        <item x="29"/>
        <item x="60"/>
        <item x="48"/>
        <item x="221"/>
        <item x="108"/>
        <item x="219"/>
        <item x="162"/>
        <item x="134"/>
        <item x="88"/>
        <item x="114"/>
        <item x="201"/>
        <item x="161"/>
        <item x="151"/>
        <item x="164"/>
        <item x="191"/>
        <item x="95"/>
        <item x="94"/>
        <item x="145"/>
        <item x="52"/>
        <item x="158"/>
        <item x="116"/>
        <item x="68"/>
        <item x="100"/>
        <item x="193"/>
        <item x="86"/>
        <item x="45"/>
        <item x="224"/>
        <item x="165"/>
        <item x="182"/>
        <item x="17"/>
        <item x="7"/>
        <item x="104"/>
        <item x="188"/>
        <item x="109"/>
        <item x="138"/>
        <item x="144"/>
        <item x="133"/>
        <item x="181"/>
        <item x="4"/>
        <item x="107"/>
        <item x="189"/>
        <item x="190"/>
        <item x="208"/>
        <item x="179"/>
        <item x="204"/>
        <item x="33"/>
        <item x="149"/>
        <item x="175"/>
        <item x="220"/>
        <item x="123"/>
        <item x="72"/>
        <item x="80"/>
        <item x="163"/>
        <item x="90"/>
        <item x="143"/>
        <item x="32"/>
        <item x="59"/>
        <item x="3"/>
        <item x="174"/>
        <item x="12"/>
        <item x="113"/>
        <item x="115"/>
        <item x="218"/>
        <item x="153"/>
        <item x="51"/>
        <item x="136"/>
        <item x="25"/>
        <item x="19"/>
        <item x="81"/>
        <item x="170"/>
        <item x="122"/>
        <item x="199"/>
        <item x="54"/>
        <item x="65"/>
        <item x="14"/>
        <item x="89"/>
        <item x="93"/>
        <item x="128"/>
        <item x="171"/>
        <item x="146"/>
        <item x="215"/>
        <item x="75"/>
        <item x="27"/>
        <item x="91"/>
        <item x="111"/>
        <item x="84"/>
        <item x="53"/>
        <item x="223"/>
        <item x="121"/>
        <item x="30"/>
        <item x="129"/>
        <item x="15"/>
        <item x="160"/>
        <item x="46"/>
        <item x="139"/>
        <item x="225"/>
        <item x="157"/>
        <item x="85"/>
        <item x="110"/>
        <item x="169"/>
        <item x="137"/>
        <item x="74"/>
        <item t="default"/>
      </items>
    </pivotField>
    <pivotField showAll="0"/>
    <pivotField showAll="0"/>
    <pivotField showAll="0"/>
    <pivotField numFmtId="164" showAll="0"/>
    <pivotField showAll="0"/>
    <pivotField showAll="0"/>
    <pivotField dataField="1" numFmtId="1" showAll="0"/>
    <pivotField numFmtId="1" showAll="0"/>
    <pivotField showAll="0"/>
    <pivotField showAll="0"/>
    <pivotField showAll="0"/>
    <pivotField axis="axisRow" showAll="0">
      <items count="6">
        <item x="3"/>
        <item x="2"/>
        <item x="4"/>
        <item x="1"/>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3"/>
  </rowFields>
  <rowItems count="6">
    <i>
      <x/>
    </i>
    <i>
      <x v="1"/>
    </i>
    <i>
      <x v="2"/>
    </i>
    <i>
      <x v="3"/>
    </i>
    <i>
      <x v="4"/>
    </i>
    <i t="grand">
      <x/>
    </i>
  </rowItems>
  <colItems count="1">
    <i/>
  </colItems>
  <dataFields count="1">
    <dataField name="Sum of Sales" fld="8" baseField="0" baseItem="0" numFmtId="1"/>
  </dataFields>
  <chartFormats count="2">
    <chartFormat chart="4"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04F9475-28F1-4A7F-9661-E34E988A2F8C}" name="PivotTable2"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15" firstHeaderRow="1" firstDataRow="1" firstDataCol="1"/>
  <pivotFields count="16">
    <pivotField showAll="0"/>
    <pivotField numFmtId="14" showAll="0">
      <items count="227">
        <item x="50"/>
        <item x="120"/>
        <item x="36"/>
        <item x="178"/>
        <item x="64"/>
        <item x="101"/>
        <item x="2"/>
        <item x="61"/>
        <item x="117"/>
        <item x="21"/>
        <item x="216"/>
        <item x="168"/>
        <item x="197"/>
        <item x="206"/>
        <item x="6"/>
        <item x="203"/>
        <item x="211"/>
        <item x="63"/>
        <item x="140"/>
        <item x="173"/>
        <item x="192"/>
        <item x="24"/>
        <item x="58"/>
        <item x="198"/>
        <item x="31"/>
        <item x="18"/>
        <item x="78"/>
        <item x="66"/>
        <item x="135"/>
        <item x="98"/>
        <item x="57"/>
        <item x="184"/>
        <item x="1"/>
        <item x="217"/>
        <item x="106"/>
        <item x="73"/>
        <item x="131"/>
        <item x="23"/>
        <item x="26"/>
        <item x="34"/>
        <item x="124"/>
        <item x="43"/>
        <item x="13"/>
        <item x="0"/>
        <item x="105"/>
        <item x="87"/>
        <item x="79"/>
        <item x="67"/>
        <item x="5"/>
        <item x="77"/>
        <item x="156"/>
        <item x="22"/>
        <item x="159"/>
        <item x="187"/>
        <item x="103"/>
        <item x="141"/>
        <item x="132"/>
        <item x="11"/>
        <item x="97"/>
        <item x="40"/>
        <item x="210"/>
        <item x="207"/>
        <item x="69"/>
        <item x="37"/>
        <item x="118"/>
        <item x="55"/>
        <item x="16"/>
        <item x="212"/>
        <item x="196"/>
        <item x="152"/>
        <item x="186"/>
        <item x="8"/>
        <item x="127"/>
        <item x="167"/>
        <item x="42"/>
        <item x="76"/>
        <item x="180"/>
        <item x="62"/>
        <item x="183"/>
        <item x="92"/>
        <item x="148"/>
        <item x="49"/>
        <item x="126"/>
        <item x="47"/>
        <item x="147"/>
        <item x="200"/>
        <item x="10"/>
        <item x="154"/>
        <item x="9"/>
        <item x="125"/>
        <item x="213"/>
        <item x="82"/>
        <item x="44"/>
        <item x="20"/>
        <item x="194"/>
        <item x="96"/>
        <item x="185"/>
        <item x="56"/>
        <item x="142"/>
        <item x="176"/>
        <item x="35"/>
        <item x="172"/>
        <item x="41"/>
        <item x="38"/>
        <item x="214"/>
        <item x="99"/>
        <item x="177"/>
        <item x="71"/>
        <item x="222"/>
        <item x="39"/>
        <item x="28"/>
        <item x="150"/>
        <item x="70"/>
        <item x="166"/>
        <item x="195"/>
        <item x="112"/>
        <item x="209"/>
        <item x="130"/>
        <item x="119"/>
        <item x="102"/>
        <item x="83"/>
        <item x="155"/>
        <item x="205"/>
        <item x="202"/>
        <item x="29"/>
        <item x="60"/>
        <item x="48"/>
        <item x="221"/>
        <item x="108"/>
        <item x="219"/>
        <item x="162"/>
        <item x="134"/>
        <item x="88"/>
        <item x="114"/>
        <item x="201"/>
        <item x="161"/>
        <item x="151"/>
        <item x="164"/>
        <item x="191"/>
        <item x="95"/>
        <item x="94"/>
        <item x="145"/>
        <item x="52"/>
        <item x="158"/>
        <item x="116"/>
        <item x="68"/>
        <item x="100"/>
        <item x="193"/>
        <item x="86"/>
        <item x="45"/>
        <item x="224"/>
        <item x="165"/>
        <item x="182"/>
        <item x="17"/>
        <item x="7"/>
        <item x="104"/>
        <item x="188"/>
        <item x="109"/>
        <item x="138"/>
        <item x="144"/>
        <item x="133"/>
        <item x="181"/>
        <item x="4"/>
        <item x="107"/>
        <item x="189"/>
        <item x="190"/>
        <item x="208"/>
        <item x="179"/>
        <item x="204"/>
        <item x="33"/>
        <item x="149"/>
        <item x="175"/>
        <item x="220"/>
        <item x="123"/>
        <item x="72"/>
        <item x="80"/>
        <item x="163"/>
        <item x="90"/>
        <item x="143"/>
        <item x="32"/>
        <item x="59"/>
        <item x="3"/>
        <item x="174"/>
        <item x="12"/>
        <item x="113"/>
        <item x="115"/>
        <item x="218"/>
        <item x="153"/>
        <item x="51"/>
        <item x="136"/>
        <item x="25"/>
        <item x="19"/>
        <item x="81"/>
        <item x="170"/>
        <item x="122"/>
        <item x="199"/>
        <item x="54"/>
        <item x="65"/>
        <item x="14"/>
        <item x="89"/>
        <item x="93"/>
        <item x="128"/>
        <item x="171"/>
        <item x="146"/>
        <item x="215"/>
        <item x="75"/>
        <item x="27"/>
        <item x="91"/>
        <item x="111"/>
        <item x="84"/>
        <item x="53"/>
        <item x="223"/>
        <item x="121"/>
        <item x="30"/>
        <item x="129"/>
        <item x="15"/>
        <item x="160"/>
        <item x="46"/>
        <item x="139"/>
        <item x="225"/>
        <item x="157"/>
        <item x="85"/>
        <item x="110"/>
        <item x="169"/>
        <item x="137"/>
        <item x="74"/>
        <item t="default"/>
      </items>
    </pivotField>
    <pivotField showAll="0"/>
    <pivotField showAll="0"/>
    <pivotField showAll="0"/>
    <pivotField numFmtId="164" showAll="0"/>
    <pivotField showAll="0"/>
    <pivotField showAll="0"/>
    <pivotField dataField="1" numFmtId="1" showAll="0"/>
    <pivotField numFmtId="1" showAll="0"/>
    <pivotField axis="axisRow" showAll="0">
      <items count="12">
        <item x="3"/>
        <item x="5"/>
        <item x="1"/>
        <item x="0"/>
        <item x="7"/>
        <item x="10"/>
        <item x="4"/>
        <item x="6"/>
        <item x="2"/>
        <item x="9"/>
        <item x="8"/>
        <item t="default"/>
      </items>
    </pivotField>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0"/>
  </rowFields>
  <rowItems count="12">
    <i>
      <x/>
    </i>
    <i>
      <x v="1"/>
    </i>
    <i>
      <x v="2"/>
    </i>
    <i>
      <x v="3"/>
    </i>
    <i>
      <x v="4"/>
    </i>
    <i>
      <x v="5"/>
    </i>
    <i>
      <x v="6"/>
    </i>
    <i>
      <x v="7"/>
    </i>
    <i>
      <x v="8"/>
    </i>
    <i>
      <x v="9"/>
    </i>
    <i>
      <x v="10"/>
    </i>
    <i t="grand">
      <x/>
    </i>
  </rowItems>
  <colItems count="1">
    <i/>
  </colItems>
  <dataFields count="1">
    <dataField name="Sum of Sales" fld="8" baseField="0" baseItem="0" numFmtId="1"/>
  </dataFields>
  <chartFormats count="2">
    <chartFormat chart="2"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4C4683C-2694-464E-8433-47D7DDDD7E90}" name="PivotTable4"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4" firstHeaderRow="1" firstDataRow="1" firstDataCol="1"/>
  <pivotFields count="16">
    <pivotField showAll="0"/>
    <pivotField numFmtId="14" showAll="0">
      <items count="227">
        <item x="50"/>
        <item x="120"/>
        <item x="36"/>
        <item x="178"/>
        <item x="64"/>
        <item x="101"/>
        <item x="2"/>
        <item x="61"/>
        <item x="117"/>
        <item x="21"/>
        <item x="216"/>
        <item x="168"/>
        <item x="197"/>
        <item x="206"/>
        <item x="6"/>
        <item x="203"/>
        <item x="211"/>
        <item x="63"/>
        <item x="140"/>
        <item x="173"/>
        <item x="192"/>
        <item x="24"/>
        <item x="58"/>
        <item x="198"/>
        <item x="31"/>
        <item x="18"/>
        <item x="78"/>
        <item x="66"/>
        <item x="135"/>
        <item x="98"/>
        <item x="57"/>
        <item x="184"/>
        <item x="1"/>
        <item x="217"/>
        <item x="106"/>
        <item x="73"/>
        <item x="131"/>
        <item x="23"/>
        <item x="26"/>
        <item x="34"/>
        <item x="124"/>
        <item x="43"/>
        <item x="13"/>
        <item x="0"/>
        <item x="105"/>
        <item x="87"/>
        <item x="79"/>
        <item x="67"/>
        <item x="5"/>
        <item x="77"/>
        <item x="156"/>
        <item x="22"/>
        <item x="159"/>
        <item x="187"/>
        <item x="103"/>
        <item x="141"/>
        <item x="132"/>
        <item x="11"/>
        <item x="97"/>
        <item x="40"/>
        <item x="210"/>
        <item x="207"/>
        <item x="69"/>
        <item x="37"/>
        <item x="118"/>
        <item x="55"/>
        <item x="16"/>
        <item x="212"/>
        <item x="196"/>
        <item x="152"/>
        <item x="186"/>
        <item x="8"/>
        <item x="127"/>
        <item x="167"/>
        <item x="42"/>
        <item x="76"/>
        <item x="180"/>
        <item x="62"/>
        <item x="183"/>
        <item x="92"/>
        <item x="148"/>
        <item x="49"/>
        <item x="126"/>
        <item x="47"/>
        <item x="147"/>
        <item x="200"/>
        <item x="10"/>
        <item x="154"/>
        <item x="9"/>
        <item x="125"/>
        <item x="213"/>
        <item x="82"/>
        <item x="44"/>
        <item x="20"/>
        <item x="194"/>
        <item x="96"/>
        <item x="185"/>
        <item x="56"/>
        <item x="142"/>
        <item x="176"/>
        <item x="35"/>
        <item x="172"/>
        <item x="41"/>
        <item x="38"/>
        <item x="214"/>
        <item x="99"/>
        <item x="177"/>
        <item x="71"/>
        <item x="222"/>
        <item x="39"/>
        <item x="28"/>
        <item x="150"/>
        <item x="70"/>
        <item x="166"/>
        <item x="195"/>
        <item x="112"/>
        <item x="209"/>
        <item x="130"/>
        <item x="119"/>
        <item x="102"/>
        <item x="83"/>
        <item x="155"/>
        <item x="205"/>
        <item x="202"/>
        <item x="29"/>
        <item x="60"/>
        <item x="48"/>
        <item x="221"/>
        <item x="108"/>
        <item x="219"/>
        <item x="162"/>
        <item x="134"/>
        <item x="88"/>
        <item x="114"/>
        <item x="201"/>
        <item x="161"/>
        <item x="151"/>
        <item x="164"/>
        <item x="191"/>
        <item x="95"/>
        <item x="94"/>
        <item x="145"/>
        <item x="52"/>
        <item x="158"/>
        <item x="116"/>
        <item x="68"/>
        <item x="100"/>
        <item x="193"/>
        <item x="86"/>
        <item x="45"/>
        <item x="224"/>
        <item x="165"/>
        <item x="182"/>
        <item x="17"/>
        <item x="7"/>
        <item x="104"/>
        <item x="188"/>
        <item x="109"/>
        <item x="138"/>
        <item x="144"/>
        <item x="133"/>
        <item x="181"/>
        <item x="4"/>
        <item x="107"/>
        <item x="189"/>
        <item x="190"/>
        <item x="208"/>
        <item x="179"/>
        <item x="204"/>
        <item x="33"/>
        <item x="149"/>
        <item x="175"/>
        <item x="220"/>
        <item x="123"/>
        <item x="72"/>
        <item x="80"/>
        <item x="163"/>
        <item x="90"/>
        <item x="143"/>
        <item x="32"/>
        <item x="59"/>
        <item x="3"/>
        <item x="174"/>
        <item x="12"/>
        <item x="113"/>
        <item x="115"/>
        <item x="218"/>
        <item x="153"/>
        <item x="51"/>
        <item x="136"/>
        <item x="25"/>
        <item x="19"/>
        <item x="81"/>
        <item x="170"/>
        <item x="122"/>
        <item x="199"/>
        <item x="54"/>
        <item x="65"/>
        <item x="14"/>
        <item x="89"/>
        <item x="93"/>
        <item x="128"/>
        <item x="171"/>
        <item x="146"/>
        <item x="215"/>
        <item x="75"/>
        <item x="27"/>
        <item x="91"/>
        <item x="111"/>
        <item x="84"/>
        <item x="53"/>
        <item x="223"/>
        <item x="121"/>
        <item x="30"/>
        <item x="129"/>
        <item x="15"/>
        <item x="160"/>
        <item x="46"/>
        <item x="139"/>
        <item x="225"/>
        <item x="157"/>
        <item x="85"/>
        <item x="110"/>
        <item x="169"/>
        <item x="137"/>
        <item x="74"/>
        <item t="default"/>
      </items>
    </pivotField>
    <pivotField showAll="0"/>
    <pivotField axis="axisRow" showAll="0">
      <items count="11">
        <item x="3"/>
        <item x="7"/>
        <item x="1"/>
        <item x="0"/>
        <item x="4"/>
        <item x="6"/>
        <item x="5"/>
        <item x="8"/>
        <item x="9"/>
        <item x="2"/>
        <item t="default"/>
      </items>
    </pivotField>
    <pivotField showAll="0"/>
    <pivotField numFmtId="164" showAll="0"/>
    <pivotField showAll="0"/>
    <pivotField showAll="0"/>
    <pivotField dataField="1" numFmtId="1" showAll="0"/>
    <pivotField numFmtId="1"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11">
    <i>
      <x/>
    </i>
    <i>
      <x v="1"/>
    </i>
    <i>
      <x v="2"/>
    </i>
    <i>
      <x v="3"/>
    </i>
    <i>
      <x v="4"/>
    </i>
    <i>
      <x v="5"/>
    </i>
    <i>
      <x v="6"/>
    </i>
    <i>
      <x v="7"/>
    </i>
    <i>
      <x v="8"/>
    </i>
    <i>
      <x v="9"/>
    </i>
    <i t="grand">
      <x/>
    </i>
  </rowItems>
  <colItems count="1">
    <i/>
  </colItems>
  <dataFields count="1">
    <dataField name="Sum of Sales" fld="8"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8BD067C-5A90-4DF3-AA52-1C9BE803C70C}" name="PivotTable5"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16">
    <pivotField showAll="0"/>
    <pivotField numFmtId="14" showAll="0">
      <items count="227">
        <item x="50"/>
        <item x="120"/>
        <item x="36"/>
        <item x="178"/>
        <item x="64"/>
        <item x="101"/>
        <item x="2"/>
        <item x="61"/>
        <item x="117"/>
        <item x="21"/>
        <item x="216"/>
        <item x="168"/>
        <item x="197"/>
        <item x="206"/>
        <item x="6"/>
        <item x="203"/>
        <item x="211"/>
        <item x="63"/>
        <item x="140"/>
        <item x="173"/>
        <item x="192"/>
        <item x="24"/>
        <item x="58"/>
        <item x="198"/>
        <item x="31"/>
        <item x="18"/>
        <item x="78"/>
        <item x="66"/>
        <item x="135"/>
        <item x="98"/>
        <item x="57"/>
        <item x="184"/>
        <item x="1"/>
        <item x="217"/>
        <item x="106"/>
        <item x="73"/>
        <item x="131"/>
        <item x="23"/>
        <item x="26"/>
        <item x="34"/>
        <item x="124"/>
        <item x="43"/>
        <item x="13"/>
        <item x="0"/>
        <item x="105"/>
        <item x="87"/>
        <item x="79"/>
        <item x="67"/>
        <item x="5"/>
        <item x="77"/>
        <item x="156"/>
        <item x="22"/>
        <item x="159"/>
        <item x="187"/>
        <item x="103"/>
        <item x="141"/>
        <item x="132"/>
        <item x="11"/>
        <item x="97"/>
        <item x="40"/>
        <item x="210"/>
        <item x="207"/>
        <item x="69"/>
        <item x="37"/>
        <item x="118"/>
        <item x="55"/>
        <item x="16"/>
        <item x="212"/>
        <item x="196"/>
        <item x="152"/>
        <item x="186"/>
        <item x="8"/>
        <item x="127"/>
        <item x="167"/>
        <item x="42"/>
        <item x="76"/>
        <item x="180"/>
        <item x="62"/>
        <item x="183"/>
        <item x="92"/>
        <item x="148"/>
        <item x="49"/>
        <item x="126"/>
        <item x="47"/>
        <item x="147"/>
        <item x="200"/>
        <item x="10"/>
        <item x="154"/>
        <item x="9"/>
        <item x="125"/>
        <item x="213"/>
        <item x="82"/>
        <item x="44"/>
        <item x="20"/>
        <item x="194"/>
        <item x="96"/>
        <item x="185"/>
        <item x="56"/>
        <item x="142"/>
        <item x="176"/>
        <item x="35"/>
        <item x="172"/>
        <item x="41"/>
        <item x="38"/>
        <item x="214"/>
        <item x="99"/>
        <item x="177"/>
        <item x="71"/>
        <item x="222"/>
        <item x="39"/>
        <item x="28"/>
        <item x="150"/>
        <item x="70"/>
        <item x="166"/>
        <item x="195"/>
        <item x="112"/>
        <item x="209"/>
        <item x="130"/>
        <item x="119"/>
        <item x="102"/>
        <item x="83"/>
        <item x="155"/>
        <item x="205"/>
        <item x="202"/>
        <item x="29"/>
        <item x="60"/>
        <item x="48"/>
        <item x="221"/>
        <item x="108"/>
        <item x="219"/>
        <item x="162"/>
        <item x="134"/>
        <item x="88"/>
        <item x="114"/>
        <item x="201"/>
        <item x="161"/>
        <item x="151"/>
        <item x="164"/>
        <item x="191"/>
        <item x="95"/>
        <item x="94"/>
        <item x="145"/>
        <item x="52"/>
        <item x="158"/>
        <item x="116"/>
        <item x="68"/>
        <item x="100"/>
        <item x="193"/>
        <item x="86"/>
        <item x="45"/>
        <item x="224"/>
        <item x="165"/>
        <item x="182"/>
        <item x="17"/>
        <item x="7"/>
        <item x="104"/>
        <item x="188"/>
        <item x="109"/>
        <item x="138"/>
        <item x="144"/>
        <item x="133"/>
        <item x="181"/>
        <item x="4"/>
        <item x="107"/>
        <item x="189"/>
        <item x="190"/>
        <item x="208"/>
        <item x="179"/>
        <item x="204"/>
        <item x="33"/>
        <item x="149"/>
        <item x="175"/>
        <item x="220"/>
        <item x="123"/>
        <item x="72"/>
        <item x="80"/>
        <item x="163"/>
        <item x="90"/>
        <item x="143"/>
        <item x="32"/>
        <item x="59"/>
        <item x="3"/>
        <item x="174"/>
        <item x="12"/>
        <item x="113"/>
        <item x="115"/>
        <item x="218"/>
        <item x="153"/>
        <item x="51"/>
        <item x="136"/>
        <item x="25"/>
        <item x="19"/>
        <item x="81"/>
        <item x="170"/>
        <item x="122"/>
        <item x="199"/>
        <item x="54"/>
        <item x="65"/>
        <item x="14"/>
        <item x="89"/>
        <item x="93"/>
        <item x="128"/>
        <item x="171"/>
        <item x="146"/>
        <item x="215"/>
        <item x="75"/>
        <item x="27"/>
        <item x="91"/>
        <item x="111"/>
        <item x="84"/>
        <item x="53"/>
        <item x="223"/>
        <item x="121"/>
        <item x="30"/>
        <item x="129"/>
        <item x="15"/>
        <item x="160"/>
        <item x="46"/>
        <item x="139"/>
        <item x="225"/>
        <item x="157"/>
        <item x="85"/>
        <item x="110"/>
        <item x="169"/>
        <item x="137"/>
        <item x="74"/>
        <item t="default"/>
      </items>
    </pivotField>
    <pivotField showAll="0"/>
    <pivotField showAll="0"/>
    <pivotField showAll="0"/>
    <pivotField numFmtId="164" showAll="0"/>
    <pivotField showAll="0"/>
    <pivotField showAll="0"/>
    <pivotField dataField="1" numFmtId="1" showAll="0"/>
    <pivotField numFmtId="1" showAll="0"/>
    <pivotField showAll="0"/>
    <pivotField axis="axisRow" showAll="0">
      <items count="5">
        <item x="2"/>
        <item x="1"/>
        <item x="0"/>
        <item x="3"/>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1"/>
  </rowFields>
  <rowItems count="5">
    <i>
      <x/>
    </i>
    <i>
      <x v="1"/>
    </i>
    <i>
      <x v="2"/>
    </i>
    <i>
      <x v="3"/>
    </i>
    <i t="grand">
      <x/>
    </i>
  </rowItems>
  <colItems count="1">
    <i/>
  </colItems>
  <dataFields count="1">
    <dataField name="Sum of Sales" fld="8"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0882827-221A-47EB-86A0-A96F948F6D26}" name="PivotTable6"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3:B13" firstHeaderRow="1" firstDataRow="1" firstDataCol="1"/>
  <pivotFields count="16">
    <pivotField showAll="0"/>
    <pivotField axis="axisRow" numFmtId="14" showAll="0">
      <items count="227">
        <item x="50"/>
        <item x="120"/>
        <item x="36"/>
        <item x="178"/>
        <item x="64"/>
        <item x="101"/>
        <item x="2"/>
        <item x="61"/>
        <item x="117"/>
        <item x="21"/>
        <item x="216"/>
        <item x="168"/>
        <item x="197"/>
        <item x="206"/>
        <item x="6"/>
        <item x="203"/>
        <item x="211"/>
        <item x="63"/>
        <item x="140"/>
        <item x="173"/>
        <item x="192"/>
        <item x="24"/>
        <item x="58"/>
        <item x="198"/>
        <item x="31"/>
        <item x="18"/>
        <item x="78"/>
        <item x="66"/>
        <item x="135"/>
        <item x="98"/>
        <item x="57"/>
        <item x="184"/>
        <item x="1"/>
        <item x="217"/>
        <item x="106"/>
        <item x="73"/>
        <item x="131"/>
        <item x="23"/>
        <item x="26"/>
        <item x="34"/>
        <item x="124"/>
        <item x="43"/>
        <item x="13"/>
        <item x="0"/>
        <item x="105"/>
        <item x="87"/>
        <item x="79"/>
        <item x="67"/>
        <item x="5"/>
        <item x="77"/>
        <item x="156"/>
        <item x="22"/>
        <item x="159"/>
        <item x="187"/>
        <item x="103"/>
        <item x="141"/>
        <item x="132"/>
        <item x="11"/>
        <item x="97"/>
        <item x="40"/>
        <item x="210"/>
        <item x="207"/>
        <item x="69"/>
        <item x="37"/>
        <item x="118"/>
        <item x="55"/>
        <item x="16"/>
        <item x="212"/>
        <item x="196"/>
        <item x="152"/>
        <item x="186"/>
        <item x="8"/>
        <item x="127"/>
        <item x="167"/>
        <item x="42"/>
        <item x="76"/>
        <item x="180"/>
        <item x="62"/>
        <item x="183"/>
        <item x="92"/>
        <item x="148"/>
        <item x="49"/>
        <item x="126"/>
        <item x="47"/>
        <item x="147"/>
        <item x="200"/>
        <item x="10"/>
        <item x="154"/>
        <item x="9"/>
        <item x="125"/>
        <item x="213"/>
        <item x="82"/>
        <item x="44"/>
        <item x="20"/>
        <item x="194"/>
        <item x="96"/>
        <item x="185"/>
        <item x="56"/>
        <item x="142"/>
        <item x="176"/>
        <item x="35"/>
        <item x="172"/>
        <item x="41"/>
        <item x="38"/>
        <item x="214"/>
        <item x="99"/>
        <item x="177"/>
        <item x="71"/>
        <item x="222"/>
        <item x="39"/>
        <item x="28"/>
        <item x="150"/>
        <item x="70"/>
        <item x="166"/>
        <item x="195"/>
        <item x="112"/>
        <item x="209"/>
        <item x="130"/>
        <item x="119"/>
        <item x="102"/>
        <item x="83"/>
        <item x="155"/>
        <item x="205"/>
        <item x="202"/>
        <item x="29"/>
        <item x="60"/>
        <item x="48"/>
        <item x="221"/>
        <item x="108"/>
        <item x="219"/>
        <item x="162"/>
        <item x="134"/>
        <item x="88"/>
        <item x="114"/>
        <item x="201"/>
        <item x="161"/>
        <item x="151"/>
        <item x="164"/>
        <item x="191"/>
        <item x="95"/>
        <item x="94"/>
        <item x="145"/>
        <item x="52"/>
        <item x="158"/>
        <item x="116"/>
        <item x="68"/>
        <item x="100"/>
        <item x="193"/>
        <item x="86"/>
        <item x="45"/>
        <item x="224"/>
        <item x="165"/>
        <item x="182"/>
        <item x="17"/>
        <item x="7"/>
        <item x="104"/>
        <item x="188"/>
        <item x="109"/>
        <item x="138"/>
        <item x="144"/>
        <item x="133"/>
        <item x="181"/>
        <item x="4"/>
        <item x="107"/>
        <item x="189"/>
        <item x="190"/>
        <item x="208"/>
        <item x="179"/>
        <item x="204"/>
        <item x="33"/>
        <item x="149"/>
        <item x="175"/>
        <item x="220"/>
        <item x="123"/>
        <item x="72"/>
        <item x="80"/>
        <item x="163"/>
        <item x="90"/>
        <item x="143"/>
        <item x="32"/>
        <item x="59"/>
        <item x="3"/>
        <item x="174"/>
        <item x="12"/>
        <item x="113"/>
        <item x="115"/>
        <item x="218"/>
        <item x="153"/>
        <item x="51"/>
        <item x="136"/>
        <item x="25"/>
        <item x="19"/>
        <item x="81"/>
        <item x="170"/>
        <item x="122"/>
        <item x="199"/>
        <item x="54"/>
        <item x="65"/>
        <item x="14"/>
        <item x="89"/>
        <item x="93"/>
        <item x="128"/>
        <item x="171"/>
        <item x="146"/>
        <item x="215"/>
        <item x="75"/>
        <item x="27"/>
        <item x="91"/>
        <item x="111"/>
        <item x="84"/>
        <item x="53"/>
        <item x="223"/>
        <item x="121"/>
        <item x="30"/>
        <item x="129"/>
        <item x="15"/>
        <item x="160"/>
        <item x="46"/>
        <item x="139"/>
        <item x="225"/>
        <item x="157"/>
        <item x="85"/>
        <item x="110"/>
        <item x="169"/>
        <item x="137"/>
        <item x="74"/>
        <item t="default"/>
      </items>
    </pivotField>
    <pivotField showAll="0"/>
    <pivotField showAll="0"/>
    <pivotField showAll="0"/>
    <pivotField numFmtId="164" showAll="0"/>
    <pivotField showAll="0"/>
    <pivotField showAll="0"/>
    <pivotField dataField="1" numFmtId="1" showAll="0"/>
    <pivotField numFmtId="1" showAll="0"/>
    <pivotField showAll="0"/>
    <pivotField showAll="0"/>
    <pivotField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5"/>
    <field x="1"/>
    <field x="14"/>
  </rowFields>
  <rowItems count="10">
    <i>
      <x v="1"/>
    </i>
    <i>
      <x v="2"/>
    </i>
    <i>
      <x v="3"/>
    </i>
    <i>
      <x v="4"/>
    </i>
    <i>
      <x v="5"/>
    </i>
    <i>
      <x v="6"/>
    </i>
    <i>
      <x v="7"/>
    </i>
    <i>
      <x v="8"/>
    </i>
    <i>
      <x v="9"/>
    </i>
    <i t="grand">
      <x/>
    </i>
  </rowItems>
  <colItems count="1">
    <i/>
  </colItems>
  <dataFields count="1">
    <dataField name="Sum of Sales" fld="8" baseField="0" baseItem="0" numFmtId="1"/>
  </dataFields>
  <chartFormats count="2">
    <chartFormat chart="1" format="0"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3CBE59E-7A2E-4ED4-89F6-9290E55CE50D}" name="PivotTable7"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4" firstHeaderRow="1" firstDataRow="1" firstDataCol="1"/>
  <pivotFields count="16">
    <pivotField showAll="0"/>
    <pivotField numFmtId="14" showAll="0">
      <items count="227">
        <item x="50"/>
        <item x="120"/>
        <item x="36"/>
        <item x="178"/>
        <item x="64"/>
        <item x="101"/>
        <item x="2"/>
        <item x="61"/>
        <item x="117"/>
        <item x="21"/>
        <item x="216"/>
        <item x="168"/>
        <item x="197"/>
        <item x="206"/>
        <item x="6"/>
        <item x="203"/>
        <item x="211"/>
        <item x="63"/>
        <item x="140"/>
        <item x="173"/>
        <item x="192"/>
        <item x="24"/>
        <item x="58"/>
        <item x="198"/>
        <item x="31"/>
        <item x="18"/>
        <item x="78"/>
        <item x="66"/>
        <item x="135"/>
        <item x="98"/>
        <item x="57"/>
        <item x="184"/>
        <item x="1"/>
        <item x="217"/>
        <item x="106"/>
        <item x="73"/>
        <item x="131"/>
        <item x="23"/>
        <item x="26"/>
        <item x="34"/>
        <item x="124"/>
        <item x="43"/>
        <item x="13"/>
        <item x="0"/>
        <item x="105"/>
        <item x="87"/>
        <item x="79"/>
        <item x="67"/>
        <item x="5"/>
        <item x="77"/>
        <item x="156"/>
        <item x="22"/>
        <item x="159"/>
        <item x="187"/>
        <item x="103"/>
        <item x="141"/>
        <item x="132"/>
        <item x="11"/>
        <item x="97"/>
        <item x="40"/>
        <item x="210"/>
        <item x="207"/>
        <item x="69"/>
        <item x="37"/>
        <item x="118"/>
        <item x="55"/>
        <item x="16"/>
        <item x="212"/>
        <item x="196"/>
        <item x="152"/>
        <item x="186"/>
        <item x="8"/>
        <item x="127"/>
        <item x="167"/>
        <item x="42"/>
        <item x="76"/>
        <item x="180"/>
        <item x="62"/>
        <item x="183"/>
        <item x="92"/>
        <item x="148"/>
        <item x="49"/>
        <item x="126"/>
        <item x="47"/>
        <item x="147"/>
        <item x="200"/>
        <item x="10"/>
        <item x="154"/>
        <item x="9"/>
        <item x="125"/>
        <item x="213"/>
        <item x="82"/>
        <item x="44"/>
        <item x="20"/>
        <item x="194"/>
        <item x="96"/>
        <item x="185"/>
        <item x="56"/>
        <item x="142"/>
        <item x="176"/>
        <item x="35"/>
        <item x="172"/>
        <item x="41"/>
        <item x="38"/>
        <item x="214"/>
        <item x="99"/>
        <item x="177"/>
        <item x="71"/>
        <item x="222"/>
        <item x="39"/>
        <item x="28"/>
        <item x="150"/>
        <item x="70"/>
        <item x="166"/>
        <item x="195"/>
        <item x="112"/>
        <item x="209"/>
        <item x="130"/>
        <item x="119"/>
        <item x="102"/>
        <item x="83"/>
        <item x="155"/>
        <item x="205"/>
        <item x="202"/>
        <item x="29"/>
        <item x="60"/>
        <item x="48"/>
        <item x="221"/>
        <item x="108"/>
        <item x="219"/>
        <item x="162"/>
        <item x="134"/>
        <item x="88"/>
        <item x="114"/>
        <item x="201"/>
        <item x="161"/>
        <item x="151"/>
        <item x="164"/>
        <item x="191"/>
        <item x="95"/>
        <item x="94"/>
        <item x="145"/>
        <item x="52"/>
        <item x="158"/>
        <item x="116"/>
        <item x="68"/>
        <item x="100"/>
        <item x="193"/>
        <item x="86"/>
        <item x="45"/>
        <item x="224"/>
        <item x="165"/>
        <item x="182"/>
        <item x="17"/>
        <item x="7"/>
        <item x="104"/>
        <item x="188"/>
        <item x="109"/>
        <item x="138"/>
        <item x="144"/>
        <item x="133"/>
        <item x="181"/>
        <item x="4"/>
        <item x="107"/>
        <item x="189"/>
        <item x="190"/>
        <item x="208"/>
        <item x="179"/>
        <item x="204"/>
        <item x="33"/>
        <item x="149"/>
        <item x="175"/>
        <item x="220"/>
        <item x="123"/>
        <item x="72"/>
        <item x="80"/>
        <item x="163"/>
        <item x="90"/>
        <item x="143"/>
        <item x="32"/>
        <item x="59"/>
        <item x="3"/>
        <item x="174"/>
        <item x="12"/>
        <item x="113"/>
        <item x="115"/>
        <item x="218"/>
        <item x="153"/>
        <item x="51"/>
        <item x="136"/>
        <item x="25"/>
        <item x="19"/>
        <item x="81"/>
        <item x="170"/>
        <item x="122"/>
        <item x="199"/>
        <item x="54"/>
        <item x="65"/>
        <item x="14"/>
        <item x="89"/>
        <item x="93"/>
        <item x="128"/>
        <item x="171"/>
        <item x="146"/>
        <item x="215"/>
        <item x="75"/>
        <item x="27"/>
        <item x="91"/>
        <item x="111"/>
        <item x="84"/>
        <item x="53"/>
        <item x="223"/>
        <item x="121"/>
        <item x="30"/>
        <item x="129"/>
        <item x="15"/>
        <item x="160"/>
        <item x="46"/>
        <item x="139"/>
        <item x="225"/>
        <item x="157"/>
        <item x="85"/>
        <item x="110"/>
        <item x="169"/>
        <item x="137"/>
        <item x="74"/>
        <item t="default"/>
      </items>
    </pivotField>
    <pivotField showAll="0"/>
    <pivotField axis="axisRow" showAll="0">
      <items count="11">
        <item x="3"/>
        <item x="7"/>
        <item x="1"/>
        <item x="0"/>
        <item x="4"/>
        <item x="6"/>
        <item x="5"/>
        <item x="8"/>
        <item x="9"/>
        <item x="2"/>
        <item t="default"/>
      </items>
    </pivotField>
    <pivotField showAll="0">
      <items count="4">
        <item x="0"/>
        <item x="1"/>
        <item x="2"/>
        <item t="default"/>
      </items>
    </pivotField>
    <pivotField dataField="1" numFmtId="164" showAll="0"/>
    <pivotField showAll="0"/>
    <pivotField showAll="0"/>
    <pivotField numFmtId="1" showAll="0"/>
    <pivotField numFmtId="1" showAll="0"/>
    <pivotField showAll="0">
      <items count="12">
        <item x="3"/>
        <item x="5"/>
        <item x="1"/>
        <item x="0"/>
        <item x="7"/>
        <item x="10"/>
        <item x="4"/>
        <item x="6"/>
        <item x="2"/>
        <item x="9"/>
        <item x="8"/>
        <item t="default"/>
      </items>
    </pivotField>
    <pivotField showAll="0"/>
    <pivotField showAll="0"/>
    <pivotField showAll="0">
      <items count="6">
        <item x="3"/>
        <item x="2"/>
        <item x="4"/>
        <item x="1"/>
        <item x="0"/>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11">
    <i>
      <x/>
    </i>
    <i>
      <x v="1"/>
    </i>
    <i>
      <x v="2"/>
    </i>
    <i>
      <x v="3"/>
    </i>
    <i>
      <x v="4"/>
    </i>
    <i>
      <x v="5"/>
    </i>
    <i>
      <x v="6"/>
    </i>
    <i>
      <x v="7"/>
    </i>
    <i>
      <x v="8"/>
    </i>
    <i>
      <x v="9"/>
    </i>
    <i t="grand">
      <x/>
    </i>
  </rowItems>
  <colItems count="1">
    <i/>
  </colItems>
  <dataFields count="1">
    <dataField name="Sum of Quantity" fld="5"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67727D2-3EE4-46BA-9A20-76CAE40F9FC8}" name="PivotTable8"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16">
    <pivotField showAll="0"/>
    <pivotField numFmtId="14" showAll="0">
      <items count="227">
        <item x="50"/>
        <item x="120"/>
        <item x="36"/>
        <item x="178"/>
        <item x="64"/>
        <item x="101"/>
        <item x="2"/>
        <item x="61"/>
        <item x="117"/>
        <item x="21"/>
        <item x="216"/>
        <item x="168"/>
        <item x="197"/>
        <item x="206"/>
        <item x="6"/>
        <item x="203"/>
        <item x="211"/>
        <item x="63"/>
        <item x="140"/>
        <item x="173"/>
        <item x="192"/>
        <item x="24"/>
        <item x="58"/>
        <item x="198"/>
        <item x="31"/>
        <item x="18"/>
        <item x="78"/>
        <item x="66"/>
        <item x="135"/>
        <item x="98"/>
        <item x="57"/>
        <item x="184"/>
        <item x="1"/>
        <item x="217"/>
        <item x="106"/>
        <item x="73"/>
        <item x="131"/>
        <item x="23"/>
        <item x="26"/>
        <item x="34"/>
        <item x="124"/>
        <item x="43"/>
        <item x="13"/>
        <item x="0"/>
        <item x="105"/>
        <item x="87"/>
        <item x="79"/>
        <item x="67"/>
        <item x="5"/>
        <item x="77"/>
        <item x="156"/>
        <item x="22"/>
        <item x="159"/>
        <item x="187"/>
        <item x="103"/>
        <item x="141"/>
        <item x="132"/>
        <item x="11"/>
        <item x="97"/>
        <item x="40"/>
        <item x="210"/>
        <item x="207"/>
        <item x="69"/>
        <item x="37"/>
        <item x="118"/>
        <item x="55"/>
        <item x="16"/>
        <item x="212"/>
        <item x="196"/>
        <item x="152"/>
        <item x="186"/>
        <item x="8"/>
        <item x="127"/>
        <item x="167"/>
        <item x="42"/>
        <item x="76"/>
        <item x="180"/>
        <item x="62"/>
        <item x="183"/>
        <item x="92"/>
        <item x="148"/>
        <item x="49"/>
        <item x="126"/>
        <item x="47"/>
        <item x="147"/>
        <item x="200"/>
        <item x="10"/>
        <item x="154"/>
        <item x="9"/>
        <item x="125"/>
        <item x="213"/>
        <item x="82"/>
        <item x="44"/>
        <item x="20"/>
        <item x="194"/>
        <item x="96"/>
        <item x="185"/>
        <item x="56"/>
        <item x="142"/>
        <item x="176"/>
        <item x="35"/>
        <item x="172"/>
        <item x="41"/>
        <item x="38"/>
        <item x="214"/>
        <item x="99"/>
        <item x="177"/>
        <item x="71"/>
        <item x="222"/>
        <item x="39"/>
        <item x="28"/>
        <item x="150"/>
        <item x="70"/>
        <item x="166"/>
        <item x="195"/>
        <item x="112"/>
        <item x="209"/>
        <item x="130"/>
        <item x="119"/>
        <item x="102"/>
        <item x="83"/>
        <item x="155"/>
        <item x="205"/>
        <item x="202"/>
        <item x="29"/>
        <item x="60"/>
        <item x="48"/>
        <item x="221"/>
        <item x="108"/>
        <item x="219"/>
        <item x="162"/>
        <item x="134"/>
        <item x="88"/>
        <item x="114"/>
        <item x="201"/>
        <item x="161"/>
        <item x="151"/>
        <item x="164"/>
        <item x="191"/>
        <item x="95"/>
        <item x="94"/>
        <item x="145"/>
        <item x="52"/>
        <item x="158"/>
        <item x="116"/>
        <item x="68"/>
        <item x="100"/>
        <item x="193"/>
        <item x="86"/>
        <item x="45"/>
        <item x="224"/>
        <item x="165"/>
        <item x="182"/>
        <item x="17"/>
        <item x="7"/>
        <item x="104"/>
        <item x="188"/>
        <item x="109"/>
        <item x="138"/>
        <item x="144"/>
        <item x="133"/>
        <item x="181"/>
        <item x="4"/>
        <item x="107"/>
        <item x="189"/>
        <item x="190"/>
        <item x="208"/>
        <item x="179"/>
        <item x="204"/>
        <item x="33"/>
        <item x="149"/>
        <item x="175"/>
        <item x="220"/>
        <item x="123"/>
        <item x="72"/>
        <item x="80"/>
        <item x="163"/>
        <item x="90"/>
        <item x="143"/>
        <item x="32"/>
        <item x="59"/>
        <item x="3"/>
        <item x="174"/>
        <item x="12"/>
        <item x="113"/>
        <item x="115"/>
        <item x="218"/>
        <item x="153"/>
        <item x="51"/>
        <item x="136"/>
        <item x="25"/>
        <item x="19"/>
        <item x="81"/>
        <item x="170"/>
        <item x="122"/>
        <item x="199"/>
        <item x="54"/>
        <item x="65"/>
        <item x="14"/>
        <item x="89"/>
        <item x="93"/>
        <item x="128"/>
        <item x="171"/>
        <item x="146"/>
        <item x="215"/>
        <item x="75"/>
        <item x="27"/>
        <item x="91"/>
        <item x="111"/>
        <item x="84"/>
        <item x="53"/>
        <item x="223"/>
        <item x="121"/>
        <item x="30"/>
        <item x="129"/>
        <item x="15"/>
        <item x="160"/>
        <item x="46"/>
        <item x="139"/>
        <item x="225"/>
        <item x="157"/>
        <item x="85"/>
        <item x="110"/>
        <item x="169"/>
        <item x="137"/>
        <item x="74"/>
        <item t="default"/>
      </items>
    </pivotField>
    <pivotField showAll="0"/>
    <pivotField showAll="0"/>
    <pivotField axis="axisRow" showAll="0">
      <items count="4">
        <item x="0"/>
        <item x="1"/>
        <item x="2"/>
        <item t="default"/>
      </items>
    </pivotField>
    <pivotField numFmtId="164" showAll="0"/>
    <pivotField showAll="0"/>
    <pivotField showAll="0"/>
    <pivotField numFmtId="1" showAll="0"/>
    <pivotField dataField="1" numFmtId="1"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4"/>
  </rowFields>
  <rowItems count="4">
    <i>
      <x/>
    </i>
    <i>
      <x v="1"/>
    </i>
    <i>
      <x v="2"/>
    </i>
    <i t="grand">
      <x/>
    </i>
  </rowItems>
  <colItems count="1">
    <i/>
  </colItems>
  <dataFields count="1">
    <dataField name="Sum of Profit" fld="9"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5DEF643-95F1-462D-8460-CEC2B9C19AEF}" name="PivotTable3"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3:B7" firstHeaderRow="1" firstDataRow="1" firstDataCol="1"/>
  <pivotFields count="16">
    <pivotField showAll="0"/>
    <pivotField numFmtId="14" showAll="0">
      <items count="227">
        <item x="50"/>
        <item x="120"/>
        <item x="36"/>
        <item x="178"/>
        <item x="64"/>
        <item x="101"/>
        <item x="2"/>
        <item x="61"/>
        <item x="117"/>
        <item x="21"/>
        <item x="216"/>
        <item x="168"/>
        <item x="197"/>
        <item x="206"/>
        <item x="6"/>
        <item x="203"/>
        <item x="211"/>
        <item x="63"/>
        <item x="140"/>
        <item x="173"/>
        <item x="192"/>
        <item x="24"/>
        <item x="58"/>
        <item x="198"/>
        <item x="31"/>
        <item x="18"/>
        <item x="78"/>
        <item x="66"/>
        <item x="135"/>
        <item x="98"/>
        <item x="57"/>
        <item x="184"/>
        <item x="1"/>
        <item x="217"/>
        <item x="106"/>
        <item x="73"/>
        <item x="131"/>
        <item x="23"/>
        <item x="26"/>
        <item x="34"/>
        <item x="124"/>
        <item x="43"/>
        <item x="13"/>
        <item x="0"/>
        <item x="105"/>
        <item x="87"/>
        <item x="79"/>
        <item x="67"/>
        <item x="5"/>
        <item x="77"/>
        <item x="156"/>
        <item x="22"/>
        <item x="159"/>
        <item x="187"/>
        <item x="103"/>
        <item x="141"/>
        <item x="132"/>
        <item x="11"/>
        <item x="97"/>
        <item x="40"/>
        <item x="210"/>
        <item x="207"/>
        <item x="69"/>
        <item x="37"/>
        <item x="118"/>
        <item x="55"/>
        <item x="16"/>
        <item x="212"/>
        <item x="196"/>
        <item x="152"/>
        <item x="186"/>
        <item x="8"/>
        <item x="127"/>
        <item x="167"/>
        <item x="42"/>
        <item x="76"/>
        <item x="180"/>
        <item x="62"/>
        <item x="183"/>
        <item x="92"/>
        <item x="148"/>
        <item x="49"/>
        <item x="126"/>
        <item x="47"/>
        <item x="147"/>
        <item x="200"/>
        <item x="10"/>
        <item x="154"/>
        <item x="9"/>
        <item x="125"/>
        <item x="213"/>
        <item x="82"/>
        <item x="44"/>
        <item x="20"/>
        <item x="194"/>
        <item x="96"/>
        <item x="185"/>
        <item x="56"/>
        <item x="142"/>
        <item x="176"/>
        <item x="35"/>
        <item x="172"/>
        <item x="41"/>
        <item x="38"/>
        <item x="214"/>
        <item x="99"/>
        <item x="177"/>
        <item x="71"/>
        <item x="222"/>
        <item x="39"/>
        <item x="28"/>
        <item x="150"/>
        <item x="70"/>
        <item x="166"/>
        <item x="195"/>
        <item x="112"/>
        <item x="209"/>
        <item x="130"/>
        <item x="119"/>
        <item x="102"/>
        <item x="83"/>
        <item x="155"/>
        <item x="205"/>
        <item x="202"/>
        <item x="29"/>
        <item x="60"/>
        <item x="48"/>
        <item x="221"/>
        <item x="108"/>
        <item x="219"/>
        <item x="162"/>
        <item x="134"/>
        <item x="88"/>
        <item x="114"/>
        <item x="201"/>
        <item x="161"/>
        <item x="151"/>
        <item x="164"/>
        <item x="191"/>
        <item x="95"/>
        <item x="94"/>
        <item x="145"/>
        <item x="52"/>
        <item x="158"/>
        <item x="116"/>
        <item x="68"/>
        <item x="100"/>
        <item x="193"/>
        <item x="86"/>
        <item x="45"/>
        <item x="224"/>
        <item x="165"/>
        <item x="182"/>
        <item x="17"/>
        <item x="7"/>
        <item x="104"/>
        <item x="188"/>
        <item x="109"/>
        <item x="138"/>
        <item x="144"/>
        <item x="133"/>
        <item x="181"/>
        <item x="4"/>
        <item x="107"/>
        <item x="189"/>
        <item x="190"/>
        <item x="208"/>
        <item x="179"/>
        <item x="204"/>
        <item x="33"/>
        <item x="149"/>
        <item x="175"/>
        <item x="220"/>
        <item x="123"/>
        <item x="72"/>
        <item x="80"/>
        <item x="163"/>
        <item x="90"/>
        <item x="143"/>
        <item x="32"/>
        <item x="59"/>
        <item x="3"/>
        <item x="174"/>
        <item x="12"/>
        <item x="113"/>
        <item x="115"/>
        <item x="218"/>
        <item x="153"/>
        <item x="51"/>
        <item x="136"/>
        <item x="25"/>
        <item x="19"/>
        <item x="81"/>
        <item x="170"/>
        <item x="122"/>
        <item x="199"/>
        <item x="54"/>
        <item x="65"/>
        <item x="14"/>
        <item x="89"/>
        <item x="93"/>
        <item x="128"/>
        <item x="171"/>
        <item x="146"/>
        <item x="215"/>
        <item x="75"/>
        <item x="27"/>
        <item x="91"/>
        <item x="111"/>
        <item x="84"/>
        <item x="53"/>
        <item x="223"/>
        <item x="121"/>
        <item x="30"/>
        <item x="129"/>
        <item x="15"/>
        <item x="160"/>
        <item x="46"/>
        <item x="139"/>
        <item x="225"/>
        <item x="157"/>
        <item x="85"/>
        <item x="110"/>
        <item x="169"/>
        <item x="137"/>
        <item x="74"/>
        <item t="default"/>
      </items>
    </pivotField>
    <pivotField showAll="0"/>
    <pivotField showAll="0"/>
    <pivotField axis="axisRow" showAll="0">
      <items count="4">
        <item x="0"/>
        <item x="1"/>
        <item x="2"/>
        <item t="default"/>
      </items>
    </pivotField>
    <pivotField numFmtId="164" showAll="0"/>
    <pivotField showAll="0"/>
    <pivotField showAll="0"/>
    <pivotField dataField="1" numFmtId="1" showAll="0"/>
    <pivotField numFmtId="1"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4">
    <i>
      <x/>
    </i>
    <i>
      <x v="1"/>
    </i>
    <i>
      <x v="2"/>
    </i>
    <i t="grand">
      <x/>
    </i>
  </rowItems>
  <colItems count="1">
    <i/>
  </colItems>
  <dataFields count="1">
    <dataField name="Sum of Sales" fld="8" baseField="0" baseItem="0" numFmtId="1"/>
  </dataFields>
  <chartFormats count="2">
    <chartFormat chart="7"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1DA4413-391B-43E8-9A56-0FD384947E7B}" name="PivotTable16"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I9:J19" firstHeaderRow="1" firstDataRow="1" firstDataCol="1"/>
  <pivotFields count="16">
    <pivotField showAll="0"/>
    <pivotField axis="axisRow" numFmtId="14" showAll="0">
      <items count="227">
        <item x="50"/>
        <item x="120"/>
        <item x="36"/>
        <item x="178"/>
        <item x="64"/>
        <item x="101"/>
        <item x="2"/>
        <item x="61"/>
        <item x="117"/>
        <item x="21"/>
        <item x="216"/>
        <item x="168"/>
        <item x="197"/>
        <item x="206"/>
        <item x="6"/>
        <item x="203"/>
        <item x="211"/>
        <item x="63"/>
        <item x="140"/>
        <item x="173"/>
        <item x="192"/>
        <item x="24"/>
        <item x="58"/>
        <item x="198"/>
        <item x="31"/>
        <item x="18"/>
        <item x="78"/>
        <item x="66"/>
        <item x="135"/>
        <item x="98"/>
        <item x="57"/>
        <item x="184"/>
        <item x="1"/>
        <item x="217"/>
        <item x="106"/>
        <item x="73"/>
        <item x="131"/>
        <item x="23"/>
        <item x="26"/>
        <item x="34"/>
        <item x="124"/>
        <item x="43"/>
        <item x="13"/>
        <item x="0"/>
        <item x="105"/>
        <item x="87"/>
        <item x="79"/>
        <item x="67"/>
        <item x="5"/>
        <item x="77"/>
        <item x="156"/>
        <item x="22"/>
        <item x="159"/>
        <item x="187"/>
        <item x="103"/>
        <item x="141"/>
        <item x="132"/>
        <item x="11"/>
        <item x="97"/>
        <item x="40"/>
        <item x="210"/>
        <item x="207"/>
        <item x="69"/>
        <item x="37"/>
        <item x="118"/>
        <item x="55"/>
        <item x="16"/>
        <item x="212"/>
        <item x="196"/>
        <item x="152"/>
        <item x="186"/>
        <item x="8"/>
        <item x="127"/>
        <item x="167"/>
        <item x="42"/>
        <item x="76"/>
        <item x="180"/>
        <item x="62"/>
        <item x="183"/>
        <item x="92"/>
        <item x="148"/>
        <item x="49"/>
        <item x="126"/>
        <item x="47"/>
        <item x="147"/>
        <item x="200"/>
        <item x="10"/>
        <item x="154"/>
        <item x="9"/>
        <item x="125"/>
        <item x="213"/>
        <item x="82"/>
        <item x="44"/>
        <item x="20"/>
        <item x="194"/>
        <item x="96"/>
        <item x="185"/>
        <item x="56"/>
        <item x="142"/>
        <item x="176"/>
        <item x="35"/>
        <item x="172"/>
        <item x="41"/>
        <item x="38"/>
        <item x="214"/>
        <item x="99"/>
        <item x="177"/>
        <item x="71"/>
        <item x="222"/>
        <item x="39"/>
        <item x="28"/>
        <item x="150"/>
        <item x="70"/>
        <item x="166"/>
        <item x="195"/>
        <item x="112"/>
        <item x="209"/>
        <item x="130"/>
        <item x="119"/>
        <item x="102"/>
        <item x="83"/>
        <item x="155"/>
        <item x="205"/>
        <item x="202"/>
        <item x="29"/>
        <item x="60"/>
        <item x="48"/>
        <item x="221"/>
        <item x="108"/>
        <item x="219"/>
        <item x="162"/>
        <item x="134"/>
        <item x="88"/>
        <item x="114"/>
        <item x="201"/>
        <item x="161"/>
        <item x="151"/>
        <item x="164"/>
        <item x="191"/>
        <item x="95"/>
        <item x="94"/>
        <item x="145"/>
        <item x="52"/>
        <item x="158"/>
        <item x="116"/>
        <item x="68"/>
        <item x="100"/>
        <item x="193"/>
        <item x="86"/>
        <item x="45"/>
        <item x="224"/>
        <item x="165"/>
        <item x="182"/>
        <item x="17"/>
        <item x="7"/>
        <item x="104"/>
        <item x="188"/>
        <item x="109"/>
        <item x="138"/>
        <item x="144"/>
        <item x="133"/>
        <item x="181"/>
        <item x="4"/>
        <item x="107"/>
        <item x="189"/>
        <item x="190"/>
        <item x="208"/>
        <item x="179"/>
        <item x="204"/>
        <item x="33"/>
        <item x="149"/>
        <item x="175"/>
        <item x="220"/>
        <item x="123"/>
        <item x="72"/>
        <item x="80"/>
        <item x="163"/>
        <item x="90"/>
        <item x="143"/>
        <item x="32"/>
        <item x="59"/>
        <item x="3"/>
        <item x="174"/>
        <item x="12"/>
        <item x="113"/>
        <item x="115"/>
        <item x="218"/>
        <item x="153"/>
        <item x="51"/>
        <item x="136"/>
        <item x="25"/>
        <item x="19"/>
        <item x="81"/>
        <item x="170"/>
        <item x="122"/>
        <item x="199"/>
        <item x="54"/>
        <item x="65"/>
        <item x="14"/>
        <item x="89"/>
        <item x="93"/>
        <item x="128"/>
        <item x="171"/>
        <item x="146"/>
        <item x="215"/>
        <item x="75"/>
        <item x="27"/>
        <item x="91"/>
        <item x="111"/>
        <item x="84"/>
        <item x="53"/>
        <item x="223"/>
        <item x="121"/>
        <item x="30"/>
        <item x="129"/>
        <item x="15"/>
        <item x="160"/>
        <item x="46"/>
        <item x="139"/>
        <item x="225"/>
        <item x="157"/>
        <item x="85"/>
        <item x="110"/>
        <item x="169"/>
        <item x="137"/>
        <item x="74"/>
        <item t="default"/>
      </items>
    </pivotField>
    <pivotField showAll="0"/>
    <pivotField showAll="0"/>
    <pivotField showAll="0"/>
    <pivotField numFmtId="164" showAll="0"/>
    <pivotField showAll="0"/>
    <pivotField showAll="0"/>
    <pivotField dataField="1" numFmtId="1" showAll="0"/>
    <pivotField numFmtId="1" showAll="0"/>
    <pivotField showAll="0"/>
    <pivotField showAll="0"/>
    <pivotField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5"/>
    <field x="1"/>
    <field x="14"/>
  </rowFields>
  <rowItems count="10">
    <i>
      <x v="1"/>
    </i>
    <i>
      <x v="2"/>
    </i>
    <i>
      <x v="3"/>
    </i>
    <i>
      <x v="4"/>
    </i>
    <i>
      <x v="5"/>
    </i>
    <i>
      <x v="6"/>
    </i>
    <i>
      <x v="7"/>
    </i>
    <i>
      <x v="8"/>
    </i>
    <i>
      <x v="9"/>
    </i>
    <i t="grand">
      <x/>
    </i>
  </rowItems>
  <colItems count="1">
    <i/>
  </colItems>
  <dataFields count="1">
    <dataField name="Sum of Sales" fld="8" baseField="0" baseItem="0" numFmtId="1"/>
  </dataFields>
  <chartFormats count="2">
    <chartFormat chart="1"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27CBF26-469F-4BD9-8D94-E0CBAAF5A964}" name="PivotTable15"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I23:J29" firstHeaderRow="1" firstDataRow="1" firstDataCol="1"/>
  <pivotFields count="16">
    <pivotField showAll="0"/>
    <pivotField numFmtId="14" showAll="0">
      <items count="227">
        <item x="50"/>
        <item x="120"/>
        <item x="36"/>
        <item x="178"/>
        <item x="64"/>
        <item x="101"/>
        <item x="2"/>
        <item x="61"/>
        <item x="117"/>
        <item x="21"/>
        <item x="216"/>
        <item x="168"/>
        <item x="197"/>
        <item x="206"/>
        <item x="6"/>
        <item x="203"/>
        <item x="211"/>
        <item x="63"/>
        <item x="140"/>
        <item x="173"/>
        <item x="192"/>
        <item x="24"/>
        <item x="58"/>
        <item x="198"/>
        <item x="31"/>
        <item x="18"/>
        <item x="78"/>
        <item x="66"/>
        <item x="135"/>
        <item x="98"/>
        <item x="57"/>
        <item x="184"/>
        <item x="1"/>
        <item x="217"/>
        <item x="106"/>
        <item x="73"/>
        <item x="131"/>
        <item x="23"/>
        <item x="26"/>
        <item x="34"/>
        <item x="124"/>
        <item x="43"/>
        <item x="13"/>
        <item x="0"/>
        <item x="105"/>
        <item x="87"/>
        <item x="79"/>
        <item x="67"/>
        <item x="5"/>
        <item x="77"/>
        <item x="156"/>
        <item x="22"/>
        <item x="159"/>
        <item x="187"/>
        <item x="103"/>
        <item x="141"/>
        <item x="132"/>
        <item x="11"/>
        <item x="97"/>
        <item x="40"/>
        <item x="210"/>
        <item x="207"/>
        <item x="69"/>
        <item x="37"/>
        <item x="118"/>
        <item x="55"/>
        <item x="16"/>
        <item x="212"/>
        <item x="196"/>
        <item x="152"/>
        <item x="186"/>
        <item x="8"/>
        <item x="127"/>
        <item x="167"/>
        <item x="42"/>
        <item x="76"/>
        <item x="180"/>
        <item x="62"/>
        <item x="183"/>
        <item x="92"/>
        <item x="148"/>
        <item x="49"/>
        <item x="126"/>
        <item x="47"/>
        <item x="147"/>
        <item x="200"/>
        <item x="10"/>
        <item x="154"/>
        <item x="9"/>
        <item x="125"/>
        <item x="213"/>
        <item x="82"/>
        <item x="44"/>
        <item x="20"/>
        <item x="194"/>
        <item x="96"/>
        <item x="185"/>
        <item x="56"/>
        <item x="142"/>
        <item x="176"/>
        <item x="35"/>
        <item x="172"/>
        <item x="41"/>
        <item x="38"/>
        <item x="214"/>
        <item x="99"/>
        <item x="177"/>
        <item x="71"/>
        <item x="222"/>
        <item x="39"/>
        <item x="28"/>
        <item x="150"/>
        <item x="70"/>
        <item x="166"/>
        <item x="195"/>
        <item x="112"/>
        <item x="209"/>
        <item x="130"/>
        <item x="119"/>
        <item x="102"/>
        <item x="83"/>
        <item x="155"/>
        <item x="205"/>
        <item x="202"/>
        <item x="29"/>
        <item x="60"/>
        <item x="48"/>
        <item x="221"/>
        <item x="108"/>
        <item x="219"/>
        <item x="162"/>
        <item x="134"/>
        <item x="88"/>
        <item x="114"/>
        <item x="201"/>
        <item x="161"/>
        <item x="151"/>
        <item x="164"/>
        <item x="191"/>
        <item x="95"/>
        <item x="94"/>
        <item x="145"/>
        <item x="52"/>
        <item x="158"/>
        <item x="116"/>
        <item x="68"/>
        <item x="100"/>
        <item x="193"/>
        <item x="86"/>
        <item x="45"/>
        <item x="224"/>
        <item x="165"/>
        <item x="182"/>
        <item x="17"/>
        <item x="7"/>
        <item x="104"/>
        <item x="188"/>
        <item x="109"/>
        <item x="138"/>
        <item x="144"/>
        <item x="133"/>
        <item x="181"/>
        <item x="4"/>
        <item x="107"/>
        <item x="189"/>
        <item x="190"/>
        <item x="208"/>
        <item x="179"/>
        <item x="204"/>
        <item x="33"/>
        <item x="149"/>
        <item x="175"/>
        <item x="220"/>
        <item x="123"/>
        <item x="72"/>
        <item x="80"/>
        <item x="163"/>
        <item x="90"/>
        <item x="143"/>
        <item x="32"/>
        <item x="59"/>
        <item x="3"/>
        <item x="174"/>
        <item x="12"/>
        <item x="113"/>
        <item x="115"/>
        <item x="218"/>
        <item x="153"/>
        <item x="51"/>
        <item x="136"/>
        <item x="25"/>
        <item x="19"/>
        <item x="81"/>
        <item x="170"/>
        <item x="122"/>
        <item x="199"/>
        <item x="54"/>
        <item x="65"/>
        <item x="14"/>
        <item x="89"/>
        <item x="93"/>
        <item x="128"/>
        <item x="171"/>
        <item x="146"/>
        <item x="215"/>
        <item x="75"/>
        <item x="27"/>
        <item x="91"/>
        <item x="111"/>
        <item x="84"/>
        <item x="53"/>
        <item x="223"/>
        <item x="121"/>
        <item x="30"/>
        <item x="129"/>
        <item x="15"/>
        <item x="160"/>
        <item x="46"/>
        <item x="139"/>
        <item x="225"/>
        <item x="157"/>
        <item x="85"/>
        <item x="110"/>
        <item x="169"/>
        <item x="137"/>
        <item x="74"/>
        <item t="default"/>
      </items>
    </pivotField>
    <pivotField showAll="0"/>
    <pivotField showAll="0"/>
    <pivotField showAll="0"/>
    <pivotField numFmtId="164" showAll="0"/>
    <pivotField showAll="0"/>
    <pivotField showAll="0"/>
    <pivotField dataField="1" numFmtId="1" showAll="0"/>
    <pivotField numFmtId="1" showAll="0"/>
    <pivotField showAll="0"/>
    <pivotField showAll="0"/>
    <pivotField showAll="0"/>
    <pivotField axis="axisRow" showAll="0">
      <items count="6">
        <item x="3"/>
        <item x="2"/>
        <item x="4"/>
        <item x="1"/>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3"/>
  </rowFields>
  <rowItems count="6">
    <i>
      <x/>
    </i>
    <i>
      <x v="1"/>
    </i>
    <i>
      <x v="2"/>
    </i>
    <i>
      <x v="3"/>
    </i>
    <i>
      <x v="4"/>
    </i>
    <i t="grand">
      <x/>
    </i>
  </rowItems>
  <colItems count="1">
    <i/>
  </colItems>
  <dataFields count="1">
    <dataField name="Sum of Sales" fld="8" baseField="0" baseItem="0" numFmtId="1"/>
  </dataFields>
  <chartFormats count="2">
    <chartFormat chart="4"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5F38041-1AD9-4C3D-8A90-493DEDA6B78B}" name="PivotTable14"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3:B35" firstHeaderRow="1" firstDataRow="1" firstDataCol="1"/>
  <pivotFields count="16">
    <pivotField showAll="0"/>
    <pivotField numFmtId="14" showAll="0">
      <items count="227">
        <item x="50"/>
        <item x="120"/>
        <item x="36"/>
        <item x="178"/>
        <item x="64"/>
        <item x="101"/>
        <item x="2"/>
        <item x="61"/>
        <item x="117"/>
        <item x="21"/>
        <item x="216"/>
        <item x="168"/>
        <item x="197"/>
        <item x="206"/>
        <item x="6"/>
        <item x="203"/>
        <item x="211"/>
        <item x="63"/>
        <item x="140"/>
        <item x="173"/>
        <item x="192"/>
        <item x="24"/>
        <item x="58"/>
        <item x="198"/>
        <item x="31"/>
        <item x="18"/>
        <item x="78"/>
        <item x="66"/>
        <item x="135"/>
        <item x="98"/>
        <item x="57"/>
        <item x="184"/>
        <item x="1"/>
        <item x="217"/>
        <item x="106"/>
        <item x="73"/>
        <item x="131"/>
        <item x="23"/>
        <item x="26"/>
        <item x="34"/>
        <item x="124"/>
        <item x="43"/>
        <item x="13"/>
        <item x="0"/>
        <item x="105"/>
        <item x="87"/>
        <item x="79"/>
        <item x="67"/>
        <item x="5"/>
        <item x="77"/>
        <item x="156"/>
        <item x="22"/>
        <item x="159"/>
        <item x="187"/>
        <item x="103"/>
        <item x="141"/>
        <item x="132"/>
        <item x="11"/>
        <item x="97"/>
        <item x="40"/>
        <item x="210"/>
        <item x="207"/>
        <item x="69"/>
        <item x="37"/>
        <item x="118"/>
        <item x="55"/>
        <item x="16"/>
        <item x="212"/>
        <item x="196"/>
        <item x="152"/>
        <item x="186"/>
        <item x="8"/>
        <item x="127"/>
        <item x="167"/>
        <item x="42"/>
        <item x="76"/>
        <item x="180"/>
        <item x="62"/>
        <item x="183"/>
        <item x="92"/>
        <item x="148"/>
        <item x="49"/>
        <item x="126"/>
        <item x="47"/>
        <item x="147"/>
        <item x="200"/>
        <item x="10"/>
        <item x="154"/>
        <item x="9"/>
        <item x="125"/>
        <item x="213"/>
        <item x="82"/>
        <item x="44"/>
        <item x="20"/>
        <item x="194"/>
        <item x="96"/>
        <item x="185"/>
        <item x="56"/>
        <item x="142"/>
        <item x="176"/>
        <item x="35"/>
        <item x="172"/>
        <item x="41"/>
        <item x="38"/>
        <item x="214"/>
        <item x="99"/>
        <item x="177"/>
        <item x="71"/>
        <item x="222"/>
        <item x="39"/>
        <item x="28"/>
        <item x="150"/>
        <item x="70"/>
        <item x="166"/>
        <item x="195"/>
        <item x="112"/>
        <item x="209"/>
        <item x="130"/>
        <item x="119"/>
        <item x="102"/>
        <item x="83"/>
        <item x="155"/>
        <item x="205"/>
        <item x="202"/>
        <item x="29"/>
        <item x="60"/>
        <item x="48"/>
        <item x="221"/>
        <item x="108"/>
        <item x="219"/>
        <item x="162"/>
        <item x="134"/>
        <item x="88"/>
        <item x="114"/>
        <item x="201"/>
        <item x="161"/>
        <item x="151"/>
        <item x="164"/>
        <item x="191"/>
        <item x="95"/>
        <item x="94"/>
        <item x="145"/>
        <item x="52"/>
        <item x="158"/>
        <item x="116"/>
        <item x="68"/>
        <item x="100"/>
        <item x="193"/>
        <item x="86"/>
        <item x="45"/>
        <item x="224"/>
        <item x="165"/>
        <item x="182"/>
        <item x="17"/>
        <item x="7"/>
        <item x="104"/>
        <item x="188"/>
        <item x="109"/>
        <item x="138"/>
        <item x="144"/>
        <item x="133"/>
        <item x="181"/>
        <item x="4"/>
        <item x="107"/>
        <item x="189"/>
        <item x="190"/>
        <item x="208"/>
        <item x="179"/>
        <item x="204"/>
        <item x="33"/>
        <item x="149"/>
        <item x="175"/>
        <item x="220"/>
        <item x="123"/>
        <item x="72"/>
        <item x="80"/>
        <item x="163"/>
        <item x="90"/>
        <item x="143"/>
        <item x="32"/>
        <item x="59"/>
        <item x="3"/>
        <item x="174"/>
        <item x="12"/>
        <item x="113"/>
        <item x="115"/>
        <item x="218"/>
        <item x="153"/>
        <item x="51"/>
        <item x="136"/>
        <item x="25"/>
        <item x="19"/>
        <item x="81"/>
        <item x="170"/>
        <item x="122"/>
        <item x="199"/>
        <item x="54"/>
        <item x="65"/>
        <item x="14"/>
        <item x="89"/>
        <item x="93"/>
        <item x="128"/>
        <item x="171"/>
        <item x="146"/>
        <item x="215"/>
        <item x="75"/>
        <item x="27"/>
        <item x="91"/>
        <item x="111"/>
        <item x="84"/>
        <item x="53"/>
        <item x="223"/>
        <item x="121"/>
        <item x="30"/>
        <item x="129"/>
        <item x="15"/>
        <item x="160"/>
        <item x="46"/>
        <item x="139"/>
        <item x="225"/>
        <item x="157"/>
        <item x="85"/>
        <item x="110"/>
        <item x="169"/>
        <item x="137"/>
        <item x="74"/>
        <item t="default"/>
      </items>
    </pivotField>
    <pivotField showAll="0"/>
    <pivotField showAll="0"/>
    <pivotField showAll="0"/>
    <pivotField numFmtId="164" showAll="0"/>
    <pivotField showAll="0"/>
    <pivotField showAll="0"/>
    <pivotField dataField="1" numFmtId="1" showAll="0"/>
    <pivotField numFmtId="1" showAll="0"/>
    <pivotField axis="axisRow" showAll="0">
      <items count="12">
        <item x="3"/>
        <item x="5"/>
        <item x="1"/>
        <item x="0"/>
        <item x="7"/>
        <item x="10"/>
        <item x="4"/>
        <item x="6"/>
        <item x="2"/>
        <item x="9"/>
        <item x="8"/>
        <item t="default"/>
      </items>
    </pivotField>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0"/>
  </rowFields>
  <rowItems count="12">
    <i>
      <x/>
    </i>
    <i>
      <x v="1"/>
    </i>
    <i>
      <x v="2"/>
    </i>
    <i>
      <x v="3"/>
    </i>
    <i>
      <x v="4"/>
    </i>
    <i>
      <x v="5"/>
    </i>
    <i>
      <x v="6"/>
    </i>
    <i>
      <x v="7"/>
    </i>
    <i>
      <x v="8"/>
    </i>
    <i>
      <x v="9"/>
    </i>
    <i>
      <x v="10"/>
    </i>
    <i t="grand">
      <x/>
    </i>
  </rowItems>
  <colItems count="1">
    <i/>
  </colItems>
  <dataFields count="1">
    <dataField name="Sum of Sales" fld="8" baseField="0" baseItem="0" numFmtId="1"/>
  </dataFields>
  <chartFormats count="2">
    <chartFormat chart="2"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4EA4E93-9353-488F-86D0-5A61743799F5}" name="PivotTable12"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11:B15" firstHeaderRow="1" firstDataRow="1" firstDataCol="1"/>
  <pivotFields count="16">
    <pivotField showAll="0"/>
    <pivotField numFmtId="14" showAll="0">
      <items count="227">
        <item x="50"/>
        <item x="120"/>
        <item x="36"/>
        <item x="178"/>
        <item x="64"/>
        <item x="101"/>
        <item x="2"/>
        <item x="61"/>
        <item x="117"/>
        <item x="21"/>
        <item x="216"/>
        <item x="168"/>
        <item x="197"/>
        <item x="206"/>
        <item x="6"/>
        <item x="203"/>
        <item x="211"/>
        <item x="63"/>
        <item x="140"/>
        <item x="173"/>
        <item x="192"/>
        <item x="24"/>
        <item x="58"/>
        <item x="198"/>
        <item x="31"/>
        <item x="18"/>
        <item x="78"/>
        <item x="66"/>
        <item x="135"/>
        <item x="98"/>
        <item x="57"/>
        <item x="184"/>
        <item x="1"/>
        <item x="217"/>
        <item x="106"/>
        <item x="73"/>
        <item x="131"/>
        <item x="23"/>
        <item x="26"/>
        <item x="34"/>
        <item x="124"/>
        <item x="43"/>
        <item x="13"/>
        <item x="0"/>
        <item x="105"/>
        <item x="87"/>
        <item x="79"/>
        <item x="67"/>
        <item x="5"/>
        <item x="77"/>
        <item x="156"/>
        <item x="22"/>
        <item x="159"/>
        <item x="187"/>
        <item x="103"/>
        <item x="141"/>
        <item x="132"/>
        <item x="11"/>
        <item x="97"/>
        <item x="40"/>
        <item x="210"/>
        <item x="207"/>
        <item x="69"/>
        <item x="37"/>
        <item x="118"/>
        <item x="55"/>
        <item x="16"/>
        <item x="212"/>
        <item x="196"/>
        <item x="152"/>
        <item x="186"/>
        <item x="8"/>
        <item x="127"/>
        <item x="167"/>
        <item x="42"/>
        <item x="76"/>
        <item x="180"/>
        <item x="62"/>
        <item x="183"/>
        <item x="92"/>
        <item x="148"/>
        <item x="49"/>
        <item x="126"/>
        <item x="47"/>
        <item x="147"/>
        <item x="200"/>
        <item x="10"/>
        <item x="154"/>
        <item x="9"/>
        <item x="125"/>
        <item x="213"/>
        <item x="82"/>
        <item x="44"/>
        <item x="20"/>
        <item x="194"/>
        <item x="96"/>
        <item x="185"/>
        <item x="56"/>
        <item x="142"/>
        <item x="176"/>
        <item x="35"/>
        <item x="172"/>
        <item x="41"/>
        <item x="38"/>
        <item x="214"/>
        <item x="99"/>
        <item x="177"/>
        <item x="71"/>
        <item x="222"/>
        <item x="39"/>
        <item x="28"/>
        <item x="150"/>
        <item x="70"/>
        <item x="166"/>
        <item x="195"/>
        <item x="112"/>
        <item x="209"/>
        <item x="130"/>
        <item x="119"/>
        <item x="102"/>
        <item x="83"/>
        <item x="155"/>
        <item x="205"/>
        <item x="202"/>
        <item x="29"/>
        <item x="60"/>
        <item x="48"/>
        <item x="221"/>
        <item x="108"/>
        <item x="219"/>
        <item x="162"/>
        <item x="134"/>
        <item x="88"/>
        <item x="114"/>
        <item x="201"/>
        <item x="161"/>
        <item x="151"/>
        <item x="164"/>
        <item x="191"/>
        <item x="95"/>
        <item x="94"/>
        <item x="145"/>
        <item x="52"/>
        <item x="158"/>
        <item x="116"/>
        <item x="68"/>
        <item x="100"/>
        <item x="193"/>
        <item x="86"/>
        <item x="45"/>
        <item x="224"/>
        <item x="165"/>
        <item x="182"/>
        <item x="17"/>
        <item x="7"/>
        <item x="104"/>
        <item x="188"/>
        <item x="109"/>
        <item x="138"/>
        <item x="144"/>
        <item x="133"/>
        <item x="181"/>
        <item x="4"/>
        <item x="107"/>
        <item x="189"/>
        <item x="190"/>
        <item x="208"/>
        <item x="179"/>
        <item x="204"/>
        <item x="33"/>
        <item x="149"/>
        <item x="175"/>
        <item x="220"/>
        <item x="123"/>
        <item x="72"/>
        <item x="80"/>
        <item x="163"/>
        <item x="90"/>
        <item x="143"/>
        <item x="32"/>
        <item x="59"/>
        <item x="3"/>
        <item x="174"/>
        <item x="12"/>
        <item x="113"/>
        <item x="115"/>
        <item x="218"/>
        <item x="153"/>
        <item x="51"/>
        <item x="136"/>
        <item x="25"/>
        <item x="19"/>
        <item x="81"/>
        <item x="170"/>
        <item x="122"/>
        <item x="199"/>
        <item x="54"/>
        <item x="65"/>
        <item x="14"/>
        <item x="89"/>
        <item x="93"/>
        <item x="128"/>
        <item x="171"/>
        <item x="146"/>
        <item x="215"/>
        <item x="75"/>
        <item x="27"/>
        <item x="91"/>
        <item x="111"/>
        <item x="84"/>
        <item x="53"/>
        <item x="223"/>
        <item x="121"/>
        <item x="30"/>
        <item x="129"/>
        <item x="15"/>
        <item x="160"/>
        <item x="46"/>
        <item x="139"/>
        <item x="225"/>
        <item x="157"/>
        <item x="85"/>
        <item x="110"/>
        <item x="169"/>
        <item x="137"/>
        <item x="74"/>
        <item t="default"/>
      </items>
    </pivotField>
    <pivotField showAll="0"/>
    <pivotField showAll="0"/>
    <pivotField axis="axisRow" showAll="0">
      <items count="4">
        <item x="0"/>
        <item x="1"/>
        <item x="2"/>
        <item t="default"/>
      </items>
    </pivotField>
    <pivotField numFmtId="164" showAll="0"/>
    <pivotField showAll="0"/>
    <pivotField showAll="0"/>
    <pivotField dataField="1" numFmtId="1" showAll="0"/>
    <pivotField numFmtId="1"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4">
    <i>
      <x/>
    </i>
    <i>
      <x v="1"/>
    </i>
    <i>
      <x v="2"/>
    </i>
    <i t="grand">
      <x/>
    </i>
  </rowItems>
  <colItems count="1">
    <i/>
  </colItems>
  <dataFields count="1">
    <dataField name="Sum of Sales" fld="8" baseField="0" baseItem="0" numFmtId="1"/>
  </dataFields>
  <chartFormats count="2">
    <chartFormat chart="7"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2300BBD8-57CF-4E6E-AFFE-087BED04998E}" sourceName="Payment_Method">
  <pivotTables>
    <pivotTable tabId="9" name="PivotTable7"/>
  </pivotTables>
  <data>
    <tabular pivotCacheId="1889686654">
      <items count="5">
        <i x="3" s="1"/>
        <i x="2" s="1"/>
        <i x="4"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1F014727-B7BB-4A57-B4DC-407B89997E71}" sourceName="City">
  <pivotTables>
    <pivotTable tabId="9" name="PivotTable7"/>
  </pivotTables>
  <data>
    <tabular pivotCacheId="1889686654">
      <items count="11">
        <i x="3" s="1"/>
        <i x="5" s="1"/>
        <i x="1" s="1"/>
        <i x="0" s="1"/>
        <i x="7" s="1"/>
        <i x="10" s="1"/>
        <i x="4" s="1"/>
        <i x="6" s="1"/>
        <i x="2" s="1"/>
        <i x="9" s="1"/>
        <i x="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695519B-1AEF-481A-8178-DE973600EB4D}" sourceName="Category">
  <pivotTables>
    <pivotTable tabId="9" name="PivotTable7"/>
  </pivotTables>
  <data>
    <tabular pivotCacheId="1889686654">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_Method" xr10:uid="{061C275C-FB4F-4529-865B-E3E9316FEF62}" cache="Slicer_Payment_Method" caption="Payment_Method" rowHeight="234950"/>
  <slicer name="City" xr10:uid="{A3C33AF8-7009-48EF-9CA5-07095F161B11}" cache="Slicer_City" caption="City" startItem="3" rowHeight="234950"/>
  <slicer name="Category" xr10:uid="{99615A09-234B-48E6-86DD-F514565229ED}" cache="Slicer_Category" caption="Category"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1.bin"/><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3" Type="http://schemas.openxmlformats.org/officeDocument/2006/relationships/pivotTable" Target="../pivotTables/pivotTable11.xml"/><Relationship Id="rId7" Type="http://schemas.microsoft.com/office/2007/relationships/slicer" Target="../slicers/slicer1.xml"/><Relationship Id="rId2" Type="http://schemas.openxmlformats.org/officeDocument/2006/relationships/pivotTable" Target="../pivotTables/pivotTable10.xml"/><Relationship Id="rId1" Type="http://schemas.openxmlformats.org/officeDocument/2006/relationships/pivotTable" Target="../pivotTables/pivotTable9.xml"/><Relationship Id="rId6" Type="http://schemas.openxmlformats.org/officeDocument/2006/relationships/drawing" Target="../drawings/drawing5.xml"/><Relationship Id="rId5" Type="http://schemas.openxmlformats.org/officeDocument/2006/relationships/printerSettings" Target="../printerSettings/printerSettings3.bin"/><Relationship Id="rId4" Type="http://schemas.openxmlformats.org/officeDocument/2006/relationships/pivotTable" Target="../pivotTables/pivot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DFBB96-04D5-44C7-B3B8-EBD931A7EA7D}">
  <dimension ref="A3:B9"/>
  <sheetViews>
    <sheetView workbookViewId="0">
      <selection activeCell="A3" sqref="A3:M22"/>
    </sheetView>
  </sheetViews>
  <sheetFormatPr defaultRowHeight="14.4" x14ac:dyDescent="0.3"/>
  <cols>
    <col min="1" max="1" width="12.5546875" bestFit="1" customWidth="1"/>
    <col min="2" max="2" width="11.6640625" bestFit="1" customWidth="1"/>
  </cols>
  <sheetData>
    <row r="3" spans="1:2" x14ac:dyDescent="0.3">
      <c r="A3" s="11" t="s">
        <v>242</v>
      </c>
      <c r="B3" t="s">
        <v>245</v>
      </c>
    </row>
    <row r="4" spans="1:2" x14ac:dyDescent="0.3">
      <c r="A4" s="12" t="s">
        <v>37</v>
      </c>
      <c r="B4" s="6">
        <v>3765106</v>
      </c>
    </row>
    <row r="5" spans="1:2" x14ac:dyDescent="0.3">
      <c r="A5" s="12" t="s">
        <v>29</v>
      </c>
      <c r="B5" s="6">
        <v>4160939</v>
      </c>
    </row>
    <row r="6" spans="1:2" x14ac:dyDescent="0.3">
      <c r="A6" s="12" t="s">
        <v>59</v>
      </c>
      <c r="B6" s="6">
        <v>3957195</v>
      </c>
    </row>
    <row r="7" spans="1:2" x14ac:dyDescent="0.3">
      <c r="A7" s="12" t="s">
        <v>26</v>
      </c>
      <c r="B7" s="6">
        <v>4404416</v>
      </c>
    </row>
    <row r="8" spans="1:2" x14ac:dyDescent="0.3">
      <c r="A8" s="12" t="s">
        <v>20</v>
      </c>
      <c r="B8" s="6">
        <v>5342638</v>
      </c>
    </row>
    <row r="9" spans="1:2" x14ac:dyDescent="0.3">
      <c r="A9" s="12" t="s">
        <v>243</v>
      </c>
      <c r="B9" s="6">
        <v>21630294</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3EFDB9-7A46-41AD-AC76-11546B177AA0}">
  <dimension ref="A3:B15"/>
  <sheetViews>
    <sheetView topLeftCell="B1" workbookViewId="0">
      <selection activeCell="A3" sqref="A3:M22"/>
    </sheetView>
  </sheetViews>
  <sheetFormatPr defaultRowHeight="14.4" x14ac:dyDescent="0.3"/>
  <cols>
    <col min="1" max="1" width="12.5546875" bestFit="1" customWidth="1"/>
    <col min="2" max="2" width="11.6640625" bestFit="1" customWidth="1"/>
  </cols>
  <sheetData>
    <row r="3" spans="1:2" x14ac:dyDescent="0.3">
      <c r="A3" s="11" t="s">
        <v>242</v>
      </c>
      <c r="B3" t="s">
        <v>245</v>
      </c>
    </row>
    <row r="4" spans="1:2" x14ac:dyDescent="0.3">
      <c r="A4" s="12" t="s">
        <v>47</v>
      </c>
      <c r="B4" s="6">
        <v>2398902</v>
      </c>
    </row>
    <row r="5" spans="1:2" x14ac:dyDescent="0.3">
      <c r="A5" s="12" t="s">
        <v>55</v>
      </c>
      <c r="B5" s="6">
        <v>1995094</v>
      </c>
    </row>
    <row r="6" spans="1:2" x14ac:dyDescent="0.3">
      <c r="A6" s="12" t="s">
        <v>23</v>
      </c>
      <c r="B6" s="6">
        <v>2428220</v>
      </c>
    </row>
    <row r="7" spans="1:2" x14ac:dyDescent="0.3">
      <c r="A7" s="12" t="s">
        <v>17</v>
      </c>
      <c r="B7" s="6">
        <v>1973562</v>
      </c>
    </row>
    <row r="8" spans="1:2" x14ac:dyDescent="0.3">
      <c r="A8" s="12" t="s">
        <v>61</v>
      </c>
      <c r="B8" s="6">
        <v>2119695</v>
      </c>
    </row>
    <row r="9" spans="1:2" x14ac:dyDescent="0.3">
      <c r="A9" s="12" t="s">
        <v>78</v>
      </c>
      <c r="B9" s="6">
        <v>1789286</v>
      </c>
    </row>
    <row r="10" spans="1:2" x14ac:dyDescent="0.3">
      <c r="A10" s="12" t="s">
        <v>52</v>
      </c>
      <c r="B10" s="6">
        <v>1837411</v>
      </c>
    </row>
    <row r="11" spans="1:2" x14ac:dyDescent="0.3">
      <c r="A11" s="12" t="s">
        <v>57</v>
      </c>
      <c r="B11" s="6">
        <v>2091905</v>
      </c>
    </row>
    <row r="12" spans="1:2" x14ac:dyDescent="0.3">
      <c r="A12" s="12" t="s">
        <v>35</v>
      </c>
      <c r="B12" s="6">
        <v>2268719</v>
      </c>
    </row>
    <row r="13" spans="1:2" x14ac:dyDescent="0.3">
      <c r="A13" s="12" t="s">
        <v>67</v>
      </c>
      <c r="B13" s="6">
        <v>2647500</v>
      </c>
    </row>
    <row r="14" spans="1:2" x14ac:dyDescent="0.3">
      <c r="A14" s="12" t="s">
        <v>233</v>
      </c>
      <c r="B14" s="6">
        <v>80000</v>
      </c>
    </row>
    <row r="15" spans="1:2" x14ac:dyDescent="0.3">
      <c r="A15" s="12" t="s">
        <v>243</v>
      </c>
      <c r="B15" s="6">
        <v>21630294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432F2-35BA-4563-A9AF-072F544C9DE9}">
  <dimension ref="A3:B14"/>
  <sheetViews>
    <sheetView workbookViewId="0">
      <selection activeCell="B14" sqref="B14"/>
    </sheetView>
  </sheetViews>
  <sheetFormatPr defaultRowHeight="14.4" x14ac:dyDescent="0.3"/>
  <cols>
    <col min="1" max="1" width="12.5546875" bestFit="1" customWidth="1"/>
    <col min="2" max="2" width="11.6640625" bestFit="1" customWidth="1"/>
  </cols>
  <sheetData>
    <row r="3" spans="1:2" x14ac:dyDescent="0.3">
      <c r="A3" s="11" t="s">
        <v>242</v>
      </c>
      <c r="B3" t="s">
        <v>245</v>
      </c>
    </row>
    <row r="4" spans="1:2" x14ac:dyDescent="0.3">
      <c r="A4" s="12" t="s">
        <v>31</v>
      </c>
      <c r="B4" s="6">
        <v>2037000</v>
      </c>
    </row>
    <row r="5" spans="1:2" x14ac:dyDescent="0.3">
      <c r="A5" s="12" t="s">
        <v>45</v>
      </c>
      <c r="B5" s="6">
        <v>394500</v>
      </c>
    </row>
    <row r="6" spans="1:2" x14ac:dyDescent="0.3">
      <c r="A6" s="12" t="s">
        <v>22</v>
      </c>
      <c r="B6" s="6">
        <v>291060</v>
      </c>
    </row>
    <row r="7" spans="1:2" x14ac:dyDescent="0.3">
      <c r="A7" s="12" t="s">
        <v>15</v>
      </c>
      <c r="B7" s="6">
        <v>7683500</v>
      </c>
    </row>
    <row r="8" spans="1:2" x14ac:dyDescent="0.3">
      <c r="A8" s="12" t="s">
        <v>34</v>
      </c>
      <c r="B8" s="6">
        <v>4483600</v>
      </c>
    </row>
    <row r="9" spans="1:2" x14ac:dyDescent="0.3">
      <c r="A9" s="12" t="s">
        <v>42</v>
      </c>
      <c r="B9" s="6">
        <v>2327500</v>
      </c>
    </row>
    <row r="10" spans="1:2" x14ac:dyDescent="0.3">
      <c r="A10" s="12" t="s">
        <v>39</v>
      </c>
      <c r="B10" s="6">
        <v>18360</v>
      </c>
    </row>
    <row r="11" spans="1:2" x14ac:dyDescent="0.3">
      <c r="A11" s="12" t="s">
        <v>51</v>
      </c>
      <c r="B11" s="6">
        <v>1363050</v>
      </c>
    </row>
    <row r="12" spans="1:2" x14ac:dyDescent="0.3">
      <c r="A12" s="12" t="s">
        <v>75</v>
      </c>
      <c r="B12" s="6">
        <v>23724</v>
      </c>
    </row>
    <row r="13" spans="1:2" x14ac:dyDescent="0.3">
      <c r="A13" s="12" t="s">
        <v>28</v>
      </c>
      <c r="B13" s="6">
        <v>3008000</v>
      </c>
    </row>
    <row r="14" spans="1:2" x14ac:dyDescent="0.3">
      <c r="A14" s="12" t="s">
        <v>243</v>
      </c>
      <c r="B14" s="6">
        <v>21630294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A96E0A-DCFB-4AD9-AA7A-43D862B0E8DB}">
  <dimension ref="A3:B8"/>
  <sheetViews>
    <sheetView workbookViewId="0">
      <selection activeCell="A3" sqref="A3"/>
    </sheetView>
  </sheetViews>
  <sheetFormatPr defaultRowHeight="14.4" x14ac:dyDescent="0.3"/>
  <cols>
    <col min="1" max="1" width="12.5546875" bestFit="1" customWidth="1"/>
    <col min="2" max="2" width="11.6640625" bestFit="1" customWidth="1"/>
  </cols>
  <sheetData>
    <row r="3" spans="1:2" x14ac:dyDescent="0.3">
      <c r="A3" s="11" t="s">
        <v>242</v>
      </c>
      <c r="B3" t="s">
        <v>245</v>
      </c>
    </row>
    <row r="4" spans="1:2" x14ac:dyDescent="0.3">
      <c r="A4" s="12" t="s">
        <v>36</v>
      </c>
      <c r="B4" s="6">
        <v>4138005</v>
      </c>
    </row>
    <row r="5" spans="1:2" x14ac:dyDescent="0.3">
      <c r="A5" s="12" t="s">
        <v>24</v>
      </c>
      <c r="B5" s="6">
        <v>8380420</v>
      </c>
    </row>
    <row r="6" spans="1:2" x14ac:dyDescent="0.3">
      <c r="A6" s="12" t="s">
        <v>18</v>
      </c>
      <c r="B6" s="6">
        <v>4372464</v>
      </c>
    </row>
    <row r="7" spans="1:2" x14ac:dyDescent="0.3">
      <c r="A7" s="12" t="s">
        <v>58</v>
      </c>
      <c r="B7" s="6">
        <v>4739405</v>
      </c>
    </row>
    <row r="8" spans="1:2" x14ac:dyDescent="0.3">
      <c r="A8" s="12" t="s">
        <v>243</v>
      </c>
      <c r="B8" s="6">
        <v>21630294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11E587-6795-44F7-9728-B760F9F262A7}">
  <dimension ref="A3:B13"/>
  <sheetViews>
    <sheetView workbookViewId="0">
      <selection activeCell="A3" sqref="A3:M22"/>
    </sheetView>
  </sheetViews>
  <sheetFormatPr defaultRowHeight="14.4" x14ac:dyDescent="0.3"/>
  <cols>
    <col min="1" max="1" width="12.5546875" bestFit="1" customWidth="1"/>
    <col min="2" max="2" width="11.6640625" bestFit="1" customWidth="1"/>
  </cols>
  <sheetData>
    <row r="3" spans="1:2" x14ac:dyDescent="0.3">
      <c r="A3" s="11" t="s">
        <v>242</v>
      </c>
      <c r="B3" t="s">
        <v>245</v>
      </c>
    </row>
    <row r="4" spans="1:2" x14ac:dyDescent="0.3">
      <c r="A4" s="12" t="s">
        <v>246</v>
      </c>
      <c r="B4" s="6">
        <v>1930042</v>
      </c>
    </row>
    <row r="5" spans="1:2" x14ac:dyDescent="0.3">
      <c r="A5" s="12" t="s">
        <v>247</v>
      </c>
      <c r="B5" s="6">
        <v>2891875</v>
      </c>
    </row>
    <row r="6" spans="1:2" x14ac:dyDescent="0.3">
      <c r="A6" s="12" t="s">
        <v>248</v>
      </c>
      <c r="B6" s="6">
        <v>2200094</v>
      </c>
    </row>
    <row r="7" spans="1:2" x14ac:dyDescent="0.3">
      <c r="A7" s="12" t="s">
        <v>249</v>
      </c>
      <c r="B7" s="6">
        <v>1775978</v>
      </c>
    </row>
    <row r="8" spans="1:2" x14ac:dyDescent="0.3">
      <c r="A8" s="12" t="s">
        <v>250</v>
      </c>
      <c r="B8" s="6">
        <v>3187163</v>
      </c>
    </row>
    <row r="9" spans="1:2" x14ac:dyDescent="0.3">
      <c r="A9" s="12" t="s">
        <v>251</v>
      </c>
      <c r="B9" s="6">
        <v>2001308</v>
      </c>
    </row>
    <row r="10" spans="1:2" x14ac:dyDescent="0.3">
      <c r="A10" s="12" t="s">
        <v>252</v>
      </c>
      <c r="B10" s="6">
        <v>2395471</v>
      </c>
    </row>
    <row r="11" spans="1:2" x14ac:dyDescent="0.3">
      <c r="A11" s="12" t="s">
        <v>253</v>
      </c>
      <c r="B11" s="6">
        <v>2318281</v>
      </c>
    </row>
    <row r="12" spans="1:2" x14ac:dyDescent="0.3">
      <c r="A12" s="12" t="s">
        <v>254</v>
      </c>
      <c r="B12" s="6">
        <v>2930082</v>
      </c>
    </row>
    <row r="13" spans="1:2" x14ac:dyDescent="0.3">
      <c r="A13" s="12" t="s">
        <v>243</v>
      </c>
      <c r="B13" s="6">
        <v>21630294</v>
      </c>
    </row>
  </sheetData>
  <pageMargins left="0.7" right="0.7" top="0.75" bottom="0.75" header="0.3" footer="0.3"/>
  <pageSetup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29BEC-EA95-4F99-A88D-5D23241C20A2}">
  <dimension ref="A3:B14"/>
  <sheetViews>
    <sheetView workbookViewId="0">
      <selection activeCell="A4" sqref="A4"/>
    </sheetView>
  </sheetViews>
  <sheetFormatPr defaultRowHeight="14.4" x14ac:dyDescent="0.3"/>
  <cols>
    <col min="1" max="1" width="12.5546875" bestFit="1" customWidth="1"/>
    <col min="2" max="2" width="14.88671875" bestFit="1" customWidth="1"/>
  </cols>
  <sheetData>
    <row r="3" spans="1:2" x14ac:dyDescent="0.3">
      <c r="A3" s="11" t="s">
        <v>242</v>
      </c>
      <c r="B3" t="s">
        <v>255</v>
      </c>
    </row>
    <row r="4" spans="1:2" x14ac:dyDescent="0.3">
      <c r="A4" s="12" t="s">
        <v>31</v>
      </c>
      <c r="B4" s="5">
        <v>185</v>
      </c>
    </row>
    <row r="5" spans="1:2" x14ac:dyDescent="0.3">
      <c r="A5" s="12" t="s">
        <v>45</v>
      </c>
      <c r="B5" s="5">
        <v>172</v>
      </c>
    </row>
    <row r="6" spans="1:2" x14ac:dyDescent="0.3">
      <c r="A6" s="12" t="s">
        <v>22</v>
      </c>
      <c r="B6" s="5">
        <v>175</v>
      </c>
    </row>
    <row r="7" spans="1:2" x14ac:dyDescent="0.3">
      <c r="A7" s="12" t="s">
        <v>15</v>
      </c>
      <c r="B7" s="5">
        <v>153</v>
      </c>
    </row>
    <row r="8" spans="1:2" x14ac:dyDescent="0.3">
      <c r="A8" s="12" t="s">
        <v>34</v>
      </c>
      <c r="B8" s="5">
        <v>220</v>
      </c>
    </row>
    <row r="9" spans="1:2" x14ac:dyDescent="0.3">
      <c r="A9" s="12" t="s">
        <v>42</v>
      </c>
      <c r="B9" s="5">
        <v>183</v>
      </c>
    </row>
    <row r="10" spans="1:2" x14ac:dyDescent="0.3">
      <c r="A10" s="12" t="s">
        <v>39</v>
      </c>
      <c r="B10" s="5">
        <v>165</v>
      </c>
    </row>
    <row r="11" spans="1:2" x14ac:dyDescent="0.3">
      <c r="A11" s="12" t="s">
        <v>51</v>
      </c>
      <c r="B11" s="5">
        <v>164</v>
      </c>
    </row>
    <row r="12" spans="1:2" x14ac:dyDescent="0.3">
      <c r="A12" s="12" t="s">
        <v>75</v>
      </c>
      <c r="B12" s="5">
        <v>144</v>
      </c>
    </row>
    <row r="13" spans="1:2" x14ac:dyDescent="0.3">
      <c r="A13" s="12" t="s">
        <v>28</v>
      </c>
      <c r="B13" s="5">
        <v>203</v>
      </c>
    </row>
    <row r="14" spans="1:2" x14ac:dyDescent="0.3">
      <c r="A14" s="12" t="s">
        <v>243</v>
      </c>
      <c r="B14" s="5">
        <v>1764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EE2EDA-CD2C-49EB-9F82-E717D9A12C1E}">
  <dimension ref="A3:B7"/>
  <sheetViews>
    <sheetView workbookViewId="0">
      <selection activeCell="A3" sqref="A3"/>
    </sheetView>
  </sheetViews>
  <sheetFormatPr defaultRowHeight="14.4" x14ac:dyDescent="0.3"/>
  <cols>
    <col min="1" max="1" width="12.5546875" bestFit="1" customWidth="1"/>
    <col min="2" max="2" width="12.109375" bestFit="1" customWidth="1"/>
  </cols>
  <sheetData>
    <row r="3" spans="1:2" x14ac:dyDescent="0.3">
      <c r="A3" s="11" t="s">
        <v>242</v>
      </c>
      <c r="B3" t="s">
        <v>244</v>
      </c>
    </row>
    <row r="4" spans="1:2" x14ac:dyDescent="0.3">
      <c r="A4" s="12" t="s">
        <v>16</v>
      </c>
      <c r="B4" s="6">
        <v>3924960</v>
      </c>
    </row>
    <row r="5" spans="1:2" x14ac:dyDescent="0.3">
      <c r="A5" s="12" t="s">
        <v>32</v>
      </c>
      <c r="B5" s="6">
        <v>738930</v>
      </c>
    </row>
    <row r="6" spans="1:2" x14ac:dyDescent="0.3">
      <c r="A6" s="12" t="s">
        <v>40</v>
      </c>
      <c r="B6" s="6">
        <v>9165.6000000000022</v>
      </c>
    </row>
    <row r="7" spans="1:2" x14ac:dyDescent="0.3">
      <c r="A7" s="12" t="s">
        <v>243</v>
      </c>
      <c r="B7" s="6">
        <v>4673055.5999999996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501"/>
  <sheetViews>
    <sheetView workbookViewId="0">
      <selection activeCell="G1" sqref="G1"/>
    </sheetView>
  </sheetViews>
  <sheetFormatPr defaultRowHeight="14.4" x14ac:dyDescent="0.3"/>
  <cols>
    <col min="1" max="1" width="8.5546875" bestFit="1" customWidth="1"/>
    <col min="2" max="2" width="18.109375" style="3" bestFit="1" customWidth="1"/>
    <col min="3" max="3" width="11.88671875" bestFit="1" customWidth="1"/>
    <col min="4" max="4" width="11.109375" bestFit="1" customWidth="1"/>
    <col min="5" max="5" width="9.88671875" bestFit="1" customWidth="1"/>
    <col min="6" max="6" width="8.33203125" style="5" bestFit="1" customWidth="1"/>
    <col min="7" max="7" width="9.6640625" bestFit="1" customWidth="1"/>
    <col min="8" max="8" width="8.33203125" style="4" bestFit="1" customWidth="1"/>
    <col min="9" max="9" width="10.5546875" style="6" bestFit="1" customWidth="1"/>
    <col min="10" max="10" width="8.5546875" style="6" bestFit="1" customWidth="1"/>
    <col min="11" max="11" width="10.109375" bestFit="1" customWidth="1"/>
    <col min="12" max="12" width="6.77734375" bestFit="1" customWidth="1"/>
    <col min="13" max="13" width="17.77734375" bestFit="1" customWidth="1"/>
    <col min="14" max="14" width="16.44140625" bestFit="1" customWidth="1"/>
  </cols>
  <sheetData>
    <row r="1" spans="1:23" x14ac:dyDescent="0.3">
      <c r="A1" s="1" t="s">
        <v>0</v>
      </c>
      <c r="B1" s="2" t="s">
        <v>1</v>
      </c>
      <c r="C1" s="1" t="s">
        <v>2</v>
      </c>
      <c r="D1" s="21" t="s">
        <v>3</v>
      </c>
      <c r="E1" s="1" t="s">
        <v>4</v>
      </c>
      <c r="F1" s="8" t="s">
        <v>5</v>
      </c>
      <c r="G1" s="1" t="s">
        <v>6</v>
      </c>
      <c r="H1" s="7" t="s">
        <v>7</v>
      </c>
      <c r="I1" s="9" t="s">
        <v>8</v>
      </c>
      <c r="J1" s="9" t="s">
        <v>9</v>
      </c>
      <c r="K1" s="21" t="s">
        <v>10</v>
      </c>
      <c r="L1" s="1" t="s">
        <v>11</v>
      </c>
      <c r="M1" s="1" t="s">
        <v>12</v>
      </c>
      <c r="N1" s="1" t="s">
        <v>13</v>
      </c>
      <c r="P1" s="10" t="s">
        <v>235</v>
      </c>
      <c r="Q1" s="10" t="s">
        <v>236</v>
      </c>
      <c r="R1" s="10" t="s">
        <v>237</v>
      </c>
      <c r="S1" s="8" t="s">
        <v>5</v>
      </c>
      <c r="T1" s="10" t="s">
        <v>238</v>
      </c>
      <c r="U1" s="10" t="s">
        <v>239</v>
      </c>
      <c r="V1" s="10" t="s">
        <v>240</v>
      </c>
      <c r="W1" s="10" t="s">
        <v>241</v>
      </c>
    </row>
    <row r="2" spans="1:23" x14ac:dyDescent="0.3">
      <c r="A2">
        <v>1001</v>
      </c>
      <c r="B2" s="3">
        <v>46080</v>
      </c>
      <c r="C2" t="s">
        <v>14</v>
      </c>
      <c r="D2" t="s">
        <v>15</v>
      </c>
      <c r="E2" t="s">
        <v>16</v>
      </c>
      <c r="F2" s="5">
        <v>6</v>
      </c>
      <c r="G2">
        <v>55000</v>
      </c>
      <c r="H2" s="4">
        <v>0.1</v>
      </c>
      <c r="I2" s="6">
        <v>297000</v>
      </c>
      <c r="J2" s="6">
        <v>59400</v>
      </c>
      <c r="K2" t="s">
        <v>17</v>
      </c>
      <c r="L2" t="s">
        <v>18</v>
      </c>
      <c r="M2" t="s">
        <v>19</v>
      </c>
      <c r="N2" t="s">
        <v>20</v>
      </c>
      <c r="P2" s="6">
        <f>SUM(I2:I501)</f>
        <v>21630294</v>
      </c>
      <c r="Q2" s="6">
        <f>SUM(J:J)</f>
        <v>4673055.5999999987</v>
      </c>
      <c r="R2">
        <f>COUNTA(A2:A501)</f>
        <v>500</v>
      </c>
      <c r="S2" s="5">
        <f>SUM(F2:F501)</f>
        <v>1764</v>
      </c>
      <c r="T2">
        <f>SUM(I2:I501)/COUNT(A2:A501)</f>
        <v>43260.588000000003</v>
      </c>
      <c r="U2" s="6">
        <f>MAX(I2:I501)</f>
        <v>330000</v>
      </c>
      <c r="V2" s="6">
        <f>MIN(I2:I501)</f>
        <v>102</v>
      </c>
      <c r="W2">
        <f>COUNTA(A2:A501)</f>
        <v>500</v>
      </c>
    </row>
    <row r="3" spans="1:23" x14ac:dyDescent="0.3">
      <c r="A3">
        <v>1002</v>
      </c>
      <c r="B3" s="3">
        <v>46067</v>
      </c>
      <c r="C3" t="s">
        <v>21</v>
      </c>
      <c r="D3" t="s">
        <v>22</v>
      </c>
      <c r="E3" t="s">
        <v>16</v>
      </c>
      <c r="F3" s="5">
        <v>4</v>
      </c>
      <c r="G3">
        <v>1800</v>
      </c>
      <c r="H3" s="4">
        <v>0</v>
      </c>
      <c r="I3" s="6">
        <v>7200</v>
      </c>
      <c r="J3" s="6">
        <v>2016</v>
      </c>
      <c r="K3" t="s">
        <v>23</v>
      </c>
      <c r="L3" t="s">
        <v>24</v>
      </c>
      <c r="M3" t="s">
        <v>25</v>
      </c>
      <c r="N3" t="s">
        <v>26</v>
      </c>
    </row>
    <row r="4" spans="1:23" x14ac:dyDescent="0.3">
      <c r="A4">
        <v>1003</v>
      </c>
      <c r="B4" s="3">
        <v>46036</v>
      </c>
      <c r="C4" t="s">
        <v>27</v>
      </c>
      <c r="D4" t="s">
        <v>28</v>
      </c>
      <c r="E4" t="s">
        <v>16</v>
      </c>
      <c r="F4" s="5">
        <v>2</v>
      </c>
      <c r="G4">
        <v>16000</v>
      </c>
      <c r="H4" s="4">
        <v>0.15</v>
      </c>
      <c r="I4" s="6">
        <v>27200</v>
      </c>
      <c r="J4" s="6">
        <v>4160</v>
      </c>
      <c r="K4" t="s">
        <v>17</v>
      </c>
      <c r="L4" t="s">
        <v>18</v>
      </c>
      <c r="M4" t="s">
        <v>25</v>
      </c>
      <c r="N4" t="s">
        <v>29</v>
      </c>
    </row>
    <row r="5" spans="1:23" x14ac:dyDescent="0.3">
      <c r="A5">
        <v>1004</v>
      </c>
      <c r="B5" s="3">
        <v>46239</v>
      </c>
      <c r="C5" t="s">
        <v>30</v>
      </c>
      <c r="D5" t="s">
        <v>31</v>
      </c>
      <c r="E5" t="s">
        <v>32</v>
      </c>
      <c r="F5" s="5">
        <v>3</v>
      </c>
      <c r="G5">
        <v>12000</v>
      </c>
      <c r="H5" s="4">
        <v>0.05</v>
      </c>
      <c r="I5" s="6">
        <v>34200</v>
      </c>
      <c r="J5" s="6">
        <v>8280</v>
      </c>
      <c r="K5" t="s">
        <v>17</v>
      </c>
      <c r="L5" t="s">
        <v>18</v>
      </c>
      <c r="M5" t="s">
        <v>25</v>
      </c>
      <c r="N5" t="s">
        <v>20</v>
      </c>
    </row>
    <row r="6" spans="1:23" x14ac:dyDescent="0.3">
      <c r="A6">
        <v>1005</v>
      </c>
      <c r="B6" s="3">
        <v>46217</v>
      </c>
      <c r="C6" t="s">
        <v>33</v>
      </c>
      <c r="D6" t="s">
        <v>34</v>
      </c>
      <c r="E6" t="s">
        <v>16</v>
      </c>
      <c r="F6" s="5">
        <v>3</v>
      </c>
      <c r="G6">
        <v>22000</v>
      </c>
      <c r="H6" s="4">
        <v>0.1</v>
      </c>
      <c r="I6" s="6">
        <v>59400</v>
      </c>
      <c r="J6" s="6">
        <v>11880</v>
      </c>
      <c r="K6" t="s">
        <v>35</v>
      </c>
      <c r="L6" t="s">
        <v>36</v>
      </c>
      <c r="M6" t="s">
        <v>19</v>
      </c>
      <c r="N6" t="s">
        <v>37</v>
      </c>
    </row>
    <row r="7" spans="1:23" x14ac:dyDescent="0.3">
      <c r="A7">
        <v>1006</v>
      </c>
      <c r="B7" s="3">
        <v>46086</v>
      </c>
      <c r="C7" t="s">
        <v>38</v>
      </c>
      <c r="D7" t="s">
        <v>39</v>
      </c>
      <c r="E7" t="s">
        <v>40</v>
      </c>
      <c r="F7" s="5">
        <v>1</v>
      </c>
      <c r="G7">
        <v>120</v>
      </c>
      <c r="H7" s="4">
        <v>0.1</v>
      </c>
      <c r="I7" s="6">
        <v>108</v>
      </c>
      <c r="J7" s="6">
        <v>21.6</v>
      </c>
      <c r="K7" t="s">
        <v>35</v>
      </c>
      <c r="L7" t="s">
        <v>36</v>
      </c>
      <c r="M7" t="s">
        <v>19</v>
      </c>
      <c r="N7" t="s">
        <v>20</v>
      </c>
    </row>
    <row r="8" spans="1:23" x14ac:dyDescent="0.3">
      <c r="A8">
        <v>1007</v>
      </c>
      <c r="B8" s="3">
        <v>46046</v>
      </c>
      <c r="C8" t="s">
        <v>41</v>
      </c>
      <c r="D8" t="s">
        <v>42</v>
      </c>
      <c r="E8" t="s">
        <v>16</v>
      </c>
      <c r="F8" s="5">
        <v>3</v>
      </c>
      <c r="G8">
        <v>14000</v>
      </c>
      <c r="H8" s="4">
        <v>0</v>
      </c>
      <c r="I8" s="6">
        <v>42000</v>
      </c>
      <c r="J8" s="6">
        <v>11760</v>
      </c>
      <c r="K8" t="s">
        <v>17</v>
      </c>
      <c r="L8" t="s">
        <v>18</v>
      </c>
      <c r="M8" t="s">
        <v>43</v>
      </c>
      <c r="N8" t="s">
        <v>37</v>
      </c>
    </row>
    <row r="9" spans="1:23" x14ac:dyDescent="0.3">
      <c r="A9">
        <v>1008</v>
      </c>
      <c r="B9" s="3">
        <v>46209</v>
      </c>
      <c r="C9" t="s">
        <v>44</v>
      </c>
      <c r="D9" t="s">
        <v>45</v>
      </c>
      <c r="E9" t="s">
        <v>16</v>
      </c>
      <c r="F9" s="5">
        <v>3</v>
      </c>
      <c r="G9">
        <v>2500</v>
      </c>
      <c r="H9" s="4">
        <v>0.1</v>
      </c>
      <c r="I9" s="6">
        <v>6750</v>
      </c>
      <c r="J9" s="6">
        <v>1350</v>
      </c>
      <c r="K9" t="s">
        <v>17</v>
      </c>
      <c r="L9" t="s">
        <v>18</v>
      </c>
      <c r="M9" t="s">
        <v>19</v>
      </c>
      <c r="N9" t="s">
        <v>20</v>
      </c>
    </row>
    <row r="10" spans="1:23" x14ac:dyDescent="0.3">
      <c r="A10">
        <v>1009</v>
      </c>
      <c r="B10" s="3">
        <v>46110</v>
      </c>
      <c r="C10" t="s">
        <v>46</v>
      </c>
      <c r="D10" t="s">
        <v>28</v>
      </c>
      <c r="E10" t="s">
        <v>16</v>
      </c>
      <c r="F10" s="5">
        <v>6</v>
      </c>
      <c r="G10">
        <v>16000</v>
      </c>
      <c r="H10" s="4">
        <v>0.05</v>
      </c>
      <c r="I10" s="6">
        <v>91200</v>
      </c>
      <c r="J10" s="6">
        <v>22080</v>
      </c>
      <c r="K10" t="s">
        <v>47</v>
      </c>
      <c r="L10" t="s">
        <v>18</v>
      </c>
      <c r="M10" t="s">
        <v>43</v>
      </c>
      <c r="N10" t="s">
        <v>26</v>
      </c>
    </row>
    <row r="11" spans="1:23" x14ac:dyDescent="0.3">
      <c r="A11">
        <v>1010</v>
      </c>
      <c r="B11" s="3">
        <v>46135</v>
      </c>
      <c r="C11" t="s">
        <v>48</v>
      </c>
      <c r="D11" t="s">
        <v>31</v>
      </c>
      <c r="E11" t="s">
        <v>32</v>
      </c>
      <c r="F11" s="5">
        <v>1</v>
      </c>
      <c r="G11">
        <v>12000</v>
      </c>
      <c r="H11" s="4">
        <v>0.05</v>
      </c>
      <c r="I11" s="6">
        <v>11400</v>
      </c>
      <c r="J11" s="6">
        <v>2760</v>
      </c>
      <c r="K11" t="s">
        <v>23</v>
      </c>
      <c r="L11" t="s">
        <v>24</v>
      </c>
      <c r="M11" t="s">
        <v>43</v>
      </c>
      <c r="N11" t="s">
        <v>20</v>
      </c>
    </row>
    <row r="12" spans="1:23" x14ac:dyDescent="0.3">
      <c r="A12">
        <v>1011</v>
      </c>
      <c r="B12" s="3">
        <v>46131</v>
      </c>
      <c r="C12" t="s">
        <v>49</v>
      </c>
      <c r="D12" t="s">
        <v>22</v>
      </c>
      <c r="E12" t="s">
        <v>16</v>
      </c>
      <c r="F12" s="5">
        <v>6</v>
      </c>
      <c r="G12">
        <v>1800</v>
      </c>
      <c r="H12" s="4">
        <v>0.1</v>
      </c>
      <c r="I12" s="6">
        <v>9720</v>
      </c>
      <c r="J12" s="6">
        <v>1944</v>
      </c>
      <c r="K12" t="s">
        <v>17</v>
      </c>
      <c r="L12" t="s">
        <v>18</v>
      </c>
      <c r="M12" t="s">
        <v>43</v>
      </c>
      <c r="N12" t="s">
        <v>37</v>
      </c>
    </row>
    <row r="13" spans="1:23" x14ac:dyDescent="0.3">
      <c r="A13">
        <v>1012</v>
      </c>
      <c r="B13" s="3">
        <v>46096</v>
      </c>
      <c r="C13" t="s">
        <v>50</v>
      </c>
      <c r="D13" t="s">
        <v>51</v>
      </c>
      <c r="E13" t="s">
        <v>32</v>
      </c>
      <c r="F13" s="5">
        <v>2</v>
      </c>
      <c r="G13">
        <v>9000</v>
      </c>
      <c r="H13" s="4">
        <v>0.05</v>
      </c>
      <c r="I13" s="6">
        <v>17100</v>
      </c>
      <c r="J13" s="6">
        <v>4140</v>
      </c>
      <c r="K13" t="s">
        <v>52</v>
      </c>
      <c r="L13" t="s">
        <v>24</v>
      </c>
      <c r="M13" t="s">
        <v>19</v>
      </c>
      <c r="N13" t="s">
        <v>26</v>
      </c>
    </row>
    <row r="14" spans="1:23" x14ac:dyDescent="0.3">
      <c r="A14">
        <v>1013</v>
      </c>
      <c r="B14" s="3">
        <v>46242</v>
      </c>
      <c r="C14" t="s">
        <v>53</v>
      </c>
      <c r="D14" t="s">
        <v>22</v>
      </c>
      <c r="E14" t="s">
        <v>16</v>
      </c>
      <c r="F14" s="5">
        <v>4</v>
      </c>
      <c r="G14">
        <v>1800</v>
      </c>
      <c r="H14" s="4">
        <v>0.1</v>
      </c>
      <c r="I14" s="6">
        <v>6480</v>
      </c>
      <c r="J14" s="6">
        <v>1296</v>
      </c>
      <c r="K14" t="s">
        <v>17</v>
      </c>
      <c r="L14" t="s">
        <v>18</v>
      </c>
      <c r="M14" t="s">
        <v>25</v>
      </c>
      <c r="N14" t="s">
        <v>20</v>
      </c>
    </row>
    <row r="15" spans="1:23" x14ac:dyDescent="0.3">
      <c r="A15">
        <v>1014</v>
      </c>
      <c r="B15" s="3">
        <v>46079</v>
      </c>
      <c r="C15" t="s">
        <v>54</v>
      </c>
      <c r="D15" t="s">
        <v>45</v>
      </c>
      <c r="E15" t="s">
        <v>16</v>
      </c>
      <c r="F15" s="5">
        <v>6</v>
      </c>
      <c r="G15">
        <v>2500</v>
      </c>
      <c r="H15" s="4">
        <v>0.05</v>
      </c>
      <c r="I15" s="6">
        <v>14250</v>
      </c>
      <c r="J15" s="6">
        <v>3450</v>
      </c>
      <c r="K15" t="s">
        <v>55</v>
      </c>
      <c r="L15" t="s">
        <v>24</v>
      </c>
      <c r="M15" t="s">
        <v>43</v>
      </c>
      <c r="N15" t="s">
        <v>37</v>
      </c>
    </row>
    <row r="16" spans="1:23" x14ac:dyDescent="0.3">
      <c r="A16">
        <v>1015</v>
      </c>
      <c r="B16" s="3">
        <v>46262</v>
      </c>
      <c r="C16" t="s">
        <v>56</v>
      </c>
      <c r="D16" t="s">
        <v>28</v>
      </c>
      <c r="E16" t="s">
        <v>16</v>
      </c>
      <c r="F16" s="5">
        <v>3</v>
      </c>
      <c r="G16">
        <v>16000</v>
      </c>
      <c r="H16" s="4">
        <v>0</v>
      </c>
      <c r="I16" s="6">
        <v>48000</v>
      </c>
      <c r="J16" s="6">
        <v>13440</v>
      </c>
      <c r="K16" t="s">
        <v>57</v>
      </c>
      <c r="L16" t="s">
        <v>58</v>
      </c>
      <c r="M16" t="s">
        <v>19</v>
      </c>
      <c r="N16" t="s">
        <v>59</v>
      </c>
    </row>
    <row r="17" spans="1:14" x14ac:dyDescent="0.3">
      <c r="A17">
        <v>1016</v>
      </c>
      <c r="B17" s="3">
        <v>46080</v>
      </c>
      <c r="C17" t="s">
        <v>60</v>
      </c>
      <c r="D17" t="s">
        <v>51</v>
      </c>
      <c r="E17" t="s">
        <v>32</v>
      </c>
      <c r="F17" s="5">
        <v>4</v>
      </c>
      <c r="G17">
        <v>9000</v>
      </c>
      <c r="H17" s="4">
        <v>0.05</v>
      </c>
      <c r="I17" s="6">
        <v>34200</v>
      </c>
      <c r="J17" s="6">
        <v>8280</v>
      </c>
      <c r="K17" t="s">
        <v>61</v>
      </c>
      <c r="L17" t="s">
        <v>24</v>
      </c>
      <c r="M17" t="s">
        <v>19</v>
      </c>
      <c r="N17" t="s">
        <v>29</v>
      </c>
    </row>
    <row r="18" spans="1:14" x14ac:dyDescent="0.3">
      <c r="A18">
        <v>1017</v>
      </c>
      <c r="B18" s="3">
        <v>46282</v>
      </c>
      <c r="C18" t="s">
        <v>62</v>
      </c>
      <c r="D18" t="s">
        <v>34</v>
      </c>
      <c r="E18" t="s">
        <v>16</v>
      </c>
      <c r="F18" s="5">
        <v>6</v>
      </c>
      <c r="G18">
        <v>22000</v>
      </c>
      <c r="H18" s="4">
        <v>0.1</v>
      </c>
      <c r="I18" s="6">
        <v>118800</v>
      </c>
      <c r="J18" s="6">
        <v>23760</v>
      </c>
      <c r="K18" t="s">
        <v>52</v>
      </c>
      <c r="L18" t="s">
        <v>24</v>
      </c>
      <c r="M18" t="s">
        <v>25</v>
      </c>
      <c r="N18" t="s">
        <v>59</v>
      </c>
    </row>
    <row r="19" spans="1:14" x14ac:dyDescent="0.3">
      <c r="A19">
        <v>1018</v>
      </c>
      <c r="B19" s="3">
        <v>46105</v>
      </c>
      <c r="C19" t="s">
        <v>63</v>
      </c>
      <c r="D19" t="s">
        <v>28</v>
      </c>
      <c r="E19" t="s">
        <v>16</v>
      </c>
      <c r="F19" s="5">
        <v>5</v>
      </c>
      <c r="G19">
        <v>16000</v>
      </c>
      <c r="H19" s="4">
        <v>0</v>
      </c>
      <c r="I19" s="6">
        <v>80000</v>
      </c>
      <c r="J19" s="6">
        <v>22400</v>
      </c>
      <c r="K19" t="s">
        <v>233</v>
      </c>
      <c r="L19" t="s">
        <v>36</v>
      </c>
      <c r="M19" t="s">
        <v>25</v>
      </c>
      <c r="N19" t="s">
        <v>20</v>
      </c>
    </row>
    <row r="20" spans="1:14" x14ac:dyDescent="0.3">
      <c r="A20">
        <v>1019</v>
      </c>
      <c r="B20" s="3">
        <v>46208</v>
      </c>
      <c r="C20" t="s">
        <v>64</v>
      </c>
      <c r="D20" t="s">
        <v>51</v>
      </c>
      <c r="E20" t="s">
        <v>32</v>
      </c>
      <c r="F20" s="5">
        <v>2</v>
      </c>
      <c r="G20">
        <v>9000</v>
      </c>
      <c r="H20" s="4">
        <v>0</v>
      </c>
      <c r="I20" s="6">
        <v>18000</v>
      </c>
      <c r="J20" s="6">
        <v>5040</v>
      </c>
      <c r="K20" t="s">
        <v>17</v>
      </c>
      <c r="L20" t="s">
        <v>18</v>
      </c>
      <c r="M20" t="s">
        <v>25</v>
      </c>
      <c r="N20" t="s">
        <v>37</v>
      </c>
    </row>
    <row r="21" spans="1:14" x14ac:dyDescent="0.3">
      <c r="A21">
        <v>1020</v>
      </c>
      <c r="B21" s="3">
        <v>46058</v>
      </c>
      <c r="C21" t="s">
        <v>65</v>
      </c>
      <c r="D21" t="s">
        <v>28</v>
      </c>
      <c r="E21" t="s">
        <v>16</v>
      </c>
      <c r="F21" s="5">
        <v>2</v>
      </c>
      <c r="G21">
        <v>16000</v>
      </c>
      <c r="H21" s="4">
        <v>0.05</v>
      </c>
      <c r="I21" s="6">
        <v>30400</v>
      </c>
      <c r="J21" s="6">
        <v>7360</v>
      </c>
      <c r="K21" t="s">
        <v>61</v>
      </c>
      <c r="L21" t="s">
        <v>24</v>
      </c>
      <c r="M21" t="s">
        <v>43</v>
      </c>
      <c r="N21" t="s">
        <v>26</v>
      </c>
    </row>
    <row r="22" spans="1:14" x14ac:dyDescent="0.3">
      <c r="A22">
        <v>1021</v>
      </c>
      <c r="B22" s="3">
        <v>46239</v>
      </c>
      <c r="C22" t="s">
        <v>66</v>
      </c>
      <c r="D22" t="s">
        <v>42</v>
      </c>
      <c r="E22" t="s">
        <v>16</v>
      </c>
      <c r="F22" s="5">
        <v>5</v>
      </c>
      <c r="G22">
        <v>14000</v>
      </c>
      <c r="H22" s="4">
        <v>0.05</v>
      </c>
      <c r="I22" s="6">
        <v>66500</v>
      </c>
      <c r="J22" s="6">
        <v>16100</v>
      </c>
      <c r="K22" t="s">
        <v>67</v>
      </c>
      <c r="L22" t="s">
        <v>58</v>
      </c>
      <c r="M22" t="s">
        <v>43</v>
      </c>
      <c r="N22" t="s">
        <v>26</v>
      </c>
    </row>
    <row r="23" spans="1:14" x14ac:dyDescent="0.3">
      <c r="A23">
        <v>1022</v>
      </c>
      <c r="B23" s="3">
        <v>46254</v>
      </c>
      <c r="C23" t="s">
        <v>68</v>
      </c>
      <c r="D23" t="s">
        <v>34</v>
      </c>
      <c r="E23" t="s">
        <v>16</v>
      </c>
      <c r="F23" s="5">
        <v>2</v>
      </c>
      <c r="G23">
        <v>22000</v>
      </c>
      <c r="H23" s="4">
        <v>0.05</v>
      </c>
      <c r="I23" s="6">
        <v>41800</v>
      </c>
      <c r="J23" s="6">
        <v>10120</v>
      </c>
      <c r="K23" t="s">
        <v>57</v>
      </c>
      <c r="L23" t="s">
        <v>58</v>
      </c>
      <c r="M23" t="s">
        <v>19</v>
      </c>
      <c r="N23" t="s">
        <v>26</v>
      </c>
    </row>
    <row r="24" spans="1:14" x14ac:dyDescent="0.3">
      <c r="A24">
        <v>1023</v>
      </c>
      <c r="B24" s="3">
        <v>46140</v>
      </c>
      <c r="C24" t="s">
        <v>69</v>
      </c>
      <c r="D24" t="s">
        <v>22</v>
      </c>
      <c r="E24" t="s">
        <v>16</v>
      </c>
      <c r="F24" s="5">
        <v>2</v>
      </c>
      <c r="G24">
        <v>1800</v>
      </c>
      <c r="H24" s="4">
        <v>0</v>
      </c>
      <c r="I24" s="6">
        <v>3600</v>
      </c>
      <c r="J24" s="6">
        <v>1008</v>
      </c>
      <c r="K24" t="s">
        <v>57</v>
      </c>
      <c r="L24" t="s">
        <v>58</v>
      </c>
      <c r="M24" t="s">
        <v>25</v>
      </c>
      <c r="N24" t="s">
        <v>20</v>
      </c>
    </row>
    <row r="25" spans="1:14" x14ac:dyDescent="0.3">
      <c r="A25">
        <v>1024</v>
      </c>
      <c r="B25" s="3">
        <v>46039</v>
      </c>
      <c r="C25" t="s">
        <v>44</v>
      </c>
      <c r="D25" t="s">
        <v>31</v>
      </c>
      <c r="E25" t="s">
        <v>32</v>
      </c>
      <c r="F25" s="5">
        <v>1</v>
      </c>
      <c r="G25">
        <v>12000</v>
      </c>
      <c r="H25" s="4">
        <v>0.05</v>
      </c>
      <c r="I25" s="6">
        <v>11400</v>
      </c>
      <c r="J25" s="6">
        <v>2760</v>
      </c>
      <c r="K25" t="s">
        <v>67</v>
      </c>
      <c r="L25" t="s">
        <v>58</v>
      </c>
      <c r="M25" t="s">
        <v>25</v>
      </c>
      <c r="N25" t="s">
        <v>26</v>
      </c>
    </row>
    <row r="26" spans="1:14" x14ac:dyDescent="0.3">
      <c r="A26">
        <v>1025</v>
      </c>
      <c r="B26" s="3">
        <v>46090</v>
      </c>
      <c r="C26" t="s">
        <v>70</v>
      </c>
      <c r="D26" t="s">
        <v>22</v>
      </c>
      <c r="E26" t="s">
        <v>16</v>
      </c>
      <c r="F26" s="5">
        <v>5</v>
      </c>
      <c r="G26">
        <v>1800</v>
      </c>
      <c r="H26" s="4">
        <v>0.15</v>
      </c>
      <c r="I26" s="6">
        <v>7650</v>
      </c>
      <c r="J26" s="6">
        <v>1170</v>
      </c>
      <c r="K26" t="s">
        <v>17</v>
      </c>
      <c r="L26" t="s">
        <v>18</v>
      </c>
      <c r="M26" t="s">
        <v>25</v>
      </c>
      <c r="N26" t="s">
        <v>20</v>
      </c>
    </row>
    <row r="27" spans="1:14" x14ac:dyDescent="0.3">
      <c r="A27">
        <v>1026</v>
      </c>
      <c r="B27" s="3">
        <v>46072</v>
      </c>
      <c r="C27" t="s">
        <v>71</v>
      </c>
      <c r="D27" t="s">
        <v>39</v>
      </c>
      <c r="E27" t="s">
        <v>40</v>
      </c>
      <c r="F27" s="5">
        <v>3</v>
      </c>
      <c r="G27">
        <v>120</v>
      </c>
      <c r="H27" s="4">
        <v>0.15</v>
      </c>
      <c r="I27" s="6">
        <v>306</v>
      </c>
      <c r="J27" s="6">
        <v>46.8</v>
      </c>
      <c r="K27" t="s">
        <v>55</v>
      </c>
      <c r="L27" t="s">
        <v>24</v>
      </c>
      <c r="M27" t="s">
        <v>19</v>
      </c>
      <c r="N27" t="s">
        <v>20</v>
      </c>
    </row>
    <row r="28" spans="1:14" x14ac:dyDescent="0.3">
      <c r="A28">
        <v>1027</v>
      </c>
      <c r="B28" s="3">
        <v>46054</v>
      </c>
      <c r="C28" t="s">
        <v>72</v>
      </c>
      <c r="D28" t="s">
        <v>39</v>
      </c>
      <c r="E28" t="s">
        <v>40</v>
      </c>
      <c r="F28" s="5">
        <v>6</v>
      </c>
      <c r="G28">
        <v>120</v>
      </c>
      <c r="H28" s="4">
        <v>0.1</v>
      </c>
      <c r="I28" s="6">
        <v>648</v>
      </c>
      <c r="J28" s="6">
        <v>129.6</v>
      </c>
      <c r="K28" t="s">
        <v>57</v>
      </c>
      <c r="L28" t="s">
        <v>58</v>
      </c>
      <c r="M28" t="s">
        <v>25</v>
      </c>
      <c r="N28" t="s">
        <v>26</v>
      </c>
    </row>
    <row r="29" spans="1:14" x14ac:dyDescent="0.3">
      <c r="A29">
        <v>1028</v>
      </c>
      <c r="B29" s="3">
        <v>46252</v>
      </c>
      <c r="C29" t="s">
        <v>46</v>
      </c>
      <c r="D29" t="s">
        <v>45</v>
      </c>
      <c r="E29" t="s">
        <v>16</v>
      </c>
      <c r="F29" s="5">
        <v>4</v>
      </c>
      <c r="G29">
        <v>2500</v>
      </c>
      <c r="H29" s="4">
        <v>0.05</v>
      </c>
      <c r="I29" s="6">
        <v>9500</v>
      </c>
      <c r="J29" s="6">
        <v>2300</v>
      </c>
      <c r="K29" t="s">
        <v>67</v>
      </c>
      <c r="L29" t="s">
        <v>58</v>
      </c>
      <c r="M29" t="s">
        <v>25</v>
      </c>
      <c r="N29" t="s">
        <v>37</v>
      </c>
    </row>
    <row r="30" spans="1:14" x14ac:dyDescent="0.3">
      <c r="A30">
        <v>1029</v>
      </c>
      <c r="B30" s="3">
        <v>46073</v>
      </c>
      <c r="C30" t="s">
        <v>73</v>
      </c>
      <c r="D30" t="s">
        <v>15</v>
      </c>
      <c r="E30" t="s">
        <v>16</v>
      </c>
      <c r="F30" s="5">
        <v>6</v>
      </c>
      <c r="G30">
        <v>55000</v>
      </c>
      <c r="H30" s="4">
        <v>0</v>
      </c>
      <c r="I30" s="6">
        <v>330000</v>
      </c>
      <c r="J30" s="6">
        <v>92400</v>
      </c>
      <c r="K30" t="s">
        <v>57</v>
      </c>
      <c r="L30" t="s">
        <v>58</v>
      </c>
      <c r="M30" t="s">
        <v>25</v>
      </c>
      <c r="N30" t="s">
        <v>37</v>
      </c>
    </row>
    <row r="31" spans="1:14" x14ac:dyDescent="0.3">
      <c r="A31">
        <v>1030</v>
      </c>
      <c r="B31" s="3">
        <v>46271</v>
      </c>
      <c r="C31" t="s">
        <v>74</v>
      </c>
      <c r="D31" t="s">
        <v>75</v>
      </c>
      <c r="E31" t="s">
        <v>40</v>
      </c>
      <c r="F31" s="5">
        <v>2</v>
      </c>
      <c r="G31">
        <v>180</v>
      </c>
      <c r="H31" s="4">
        <v>0.15</v>
      </c>
      <c r="I31" s="6">
        <v>306</v>
      </c>
      <c r="J31" s="6">
        <v>46.8</v>
      </c>
      <c r="K31" t="s">
        <v>23</v>
      </c>
      <c r="L31" t="s">
        <v>24</v>
      </c>
      <c r="M31" t="s">
        <v>25</v>
      </c>
      <c r="N31" t="s">
        <v>37</v>
      </c>
    </row>
    <row r="32" spans="1:14" x14ac:dyDescent="0.3">
      <c r="A32">
        <v>1031</v>
      </c>
      <c r="B32" s="3">
        <v>46158</v>
      </c>
      <c r="C32" t="s">
        <v>76</v>
      </c>
      <c r="D32" t="s">
        <v>75</v>
      </c>
      <c r="E32" t="s">
        <v>40</v>
      </c>
      <c r="F32" s="5">
        <v>3</v>
      </c>
      <c r="G32">
        <v>180</v>
      </c>
      <c r="H32" s="4">
        <v>0.15</v>
      </c>
      <c r="I32" s="6">
        <v>459</v>
      </c>
      <c r="J32" s="6">
        <v>70.2</v>
      </c>
      <c r="K32" t="s">
        <v>52</v>
      </c>
      <c r="L32" t="s">
        <v>24</v>
      </c>
      <c r="M32" t="s">
        <v>25</v>
      </c>
      <c r="N32" t="s">
        <v>29</v>
      </c>
    </row>
    <row r="33" spans="1:14" x14ac:dyDescent="0.3">
      <c r="A33">
        <v>1032</v>
      </c>
      <c r="B33" s="3">
        <v>46174</v>
      </c>
      <c r="C33" t="s">
        <v>77</v>
      </c>
      <c r="D33" t="s">
        <v>42</v>
      </c>
      <c r="E33" t="s">
        <v>16</v>
      </c>
      <c r="F33" s="5">
        <v>1</v>
      </c>
      <c r="G33">
        <v>14000</v>
      </c>
      <c r="H33" s="4">
        <v>0</v>
      </c>
      <c r="I33" s="6">
        <v>14000</v>
      </c>
      <c r="J33" s="6">
        <v>3920</v>
      </c>
      <c r="K33" t="s">
        <v>78</v>
      </c>
      <c r="L33" t="s">
        <v>36</v>
      </c>
      <c r="M33" t="s">
        <v>19</v>
      </c>
      <c r="N33" t="s">
        <v>37</v>
      </c>
    </row>
    <row r="34" spans="1:14" x14ac:dyDescent="0.3">
      <c r="A34">
        <v>1033</v>
      </c>
      <c r="B34" s="3">
        <v>46280</v>
      </c>
      <c r="C34" t="s">
        <v>79</v>
      </c>
      <c r="D34" t="s">
        <v>28</v>
      </c>
      <c r="E34" t="s">
        <v>16</v>
      </c>
      <c r="F34" s="5">
        <v>2</v>
      </c>
      <c r="G34">
        <v>16000</v>
      </c>
      <c r="H34" s="4">
        <v>0</v>
      </c>
      <c r="I34" s="6">
        <v>32000</v>
      </c>
      <c r="J34" s="6">
        <v>8960</v>
      </c>
      <c r="K34" t="s">
        <v>52</v>
      </c>
      <c r="L34" t="s">
        <v>24</v>
      </c>
      <c r="M34" t="s">
        <v>25</v>
      </c>
      <c r="N34" t="s">
        <v>26</v>
      </c>
    </row>
    <row r="35" spans="1:14" x14ac:dyDescent="0.3">
      <c r="A35">
        <v>1034</v>
      </c>
      <c r="B35" s="3">
        <v>46057</v>
      </c>
      <c r="C35" t="s">
        <v>72</v>
      </c>
      <c r="D35" t="s">
        <v>42</v>
      </c>
      <c r="E35" t="s">
        <v>16</v>
      </c>
      <c r="F35" s="5">
        <v>4</v>
      </c>
      <c r="G35">
        <v>14000</v>
      </c>
      <c r="H35" s="4">
        <v>0</v>
      </c>
      <c r="I35" s="6">
        <v>56000</v>
      </c>
      <c r="J35" s="6">
        <v>15680</v>
      </c>
      <c r="K35" t="s">
        <v>35</v>
      </c>
      <c r="L35" t="s">
        <v>36</v>
      </c>
      <c r="M35" t="s">
        <v>19</v>
      </c>
      <c r="N35" t="s">
        <v>20</v>
      </c>
    </row>
    <row r="36" spans="1:14" x14ac:dyDescent="0.3">
      <c r="A36">
        <v>1035</v>
      </c>
      <c r="B36" s="3">
        <v>46237</v>
      </c>
      <c r="C36" t="s">
        <v>80</v>
      </c>
      <c r="D36" t="s">
        <v>22</v>
      </c>
      <c r="E36" t="s">
        <v>16</v>
      </c>
      <c r="F36" s="5">
        <v>5</v>
      </c>
      <c r="G36">
        <v>1800</v>
      </c>
      <c r="H36" s="4">
        <v>0.1</v>
      </c>
      <c r="I36" s="6">
        <v>8100</v>
      </c>
      <c r="J36" s="6">
        <v>1620</v>
      </c>
      <c r="K36" t="s">
        <v>67</v>
      </c>
      <c r="L36" t="s">
        <v>58</v>
      </c>
      <c r="M36" t="s">
        <v>25</v>
      </c>
      <c r="N36" t="s">
        <v>59</v>
      </c>
    </row>
    <row r="37" spans="1:14" x14ac:dyDescent="0.3">
      <c r="A37">
        <v>1036</v>
      </c>
      <c r="B37" s="3">
        <v>46225</v>
      </c>
      <c r="C37" t="s">
        <v>48</v>
      </c>
      <c r="D37" t="s">
        <v>45</v>
      </c>
      <c r="E37" t="s">
        <v>16</v>
      </c>
      <c r="F37" s="5">
        <v>6</v>
      </c>
      <c r="G37">
        <v>2500</v>
      </c>
      <c r="H37" s="4">
        <v>0.1</v>
      </c>
      <c r="I37" s="6">
        <v>13500</v>
      </c>
      <c r="J37" s="6">
        <v>2700</v>
      </c>
      <c r="K37" t="s">
        <v>61</v>
      </c>
      <c r="L37" t="s">
        <v>24</v>
      </c>
      <c r="M37" t="s">
        <v>25</v>
      </c>
      <c r="N37" t="s">
        <v>37</v>
      </c>
    </row>
    <row r="38" spans="1:14" x14ac:dyDescent="0.3">
      <c r="A38">
        <v>1037</v>
      </c>
      <c r="B38" s="3">
        <v>46074</v>
      </c>
      <c r="C38" t="s">
        <v>33</v>
      </c>
      <c r="D38" t="s">
        <v>34</v>
      </c>
      <c r="E38" t="s">
        <v>16</v>
      </c>
      <c r="F38" s="5">
        <v>5</v>
      </c>
      <c r="G38">
        <v>22000</v>
      </c>
      <c r="H38" s="4">
        <v>0.05</v>
      </c>
      <c r="I38" s="6">
        <v>104500</v>
      </c>
      <c r="J38" s="6">
        <v>25300</v>
      </c>
      <c r="K38" t="s">
        <v>52</v>
      </c>
      <c r="L38" t="s">
        <v>24</v>
      </c>
      <c r="M38" t="s">
        <v>43</v>
      </c>
      <c r="N38" t="s">
        <v>20</v>
      </c>
    </row>
    <row r="39" spans="1:14" x14ac:dyDescent="0.3">
      <c r="A39">
        <v>1038</v>
      </c>
      <c r="B39" s="3">
        <v>46148</v>
      </c>
      <c r="C39" t="s">
        <v>81</v>
      </c>
      <c r="D39" t="s">
        <v>31</v>
      </c>
      <c r="E39" t="s">
        <v>32</v>
      </c>
      <c r="F39" s="5">
        <v>3</v>
      </c>
      <c r="G39">
        <v>12000</v>
      </c>
      <c r="H39" s="4">
        <v>0.05</v>
      </c>
      <c r="I39" s="6">
        <v>34200</v>
      </c>
      <c r="J39" s="6">
        <v>8280</v>
      </c>
      <c r="K39" t="s">
        <v>61</v>
      </c>
      <c r="L39" t="s">
        <v>24</v>
      </c>
      <c r="M39" t="s">
        <v>19</v>
      </c>
      <c r="N39" t="s">
        <v>26</v>
      </c>
    </row>
    <row r="40" spans="1:14" x14ac:dyDescent="0.3">
      <c r="A40">
        <v>1039</v>
      </c>
      <c r="B40" s="3">
        <v>46027</v>
      </c>
      <c r="C40" t="s">
        <v>33</v>
      </c>
      <c r="D40" t="s">
        <v>28</v>
      </c>
      <c r="E40" t="s">
        <v>16</v>
      </c>
      <c r="F40" s="5">
        <v>3</v>
      </c>
      <c r="G40">
        <v>16000</v>
      </c>
      <c r="H40" s="4">
        <v>0</v>
      </c>
      <c r="I40" s="6">
        <v>48000</v>
      </c>
      <c r="J40" s="6">
        <v>13440</v>
      </c>
      <c r="K40" t="s">
        <v>47</v>
      </c>
      <c r="L40" t="s">
        <v>18</v>
      </c>
      <c r="M40" t="s">
        <v>25</v>
      </c>
      <c r="N40" t="s">
        <v>26</v>
      </c>
    </row>
    <row r="41" spans="1:14" x14ac:dyDescent="0.3">
      <c r="A41">
        <v>1040</v>
      </c>
      <c r="B41" s="3">
        <v>46102</v>
      </c>
      <c r="C41" t="s">
        <v>80</v>
      </c>
      <c r="D41" t="s">
        <v>51</v>
      </c>
      <c r="E41" t="s">
        <v>32</v>
      </c>
      <c r="F41" s="5">
        <v>3</v>
      </c>
      <c r="G41">
        <v>9000</v>
      </c>
      <c r="H41" s="4">
        <v>0.05</v>
      </c>
      <c r="I41" s="6">
        <v>25650</v>
      </c>
      <c r="J41" s="6">
        <v>6210</v>
      </c>
      <c r="K41" t="s">
        <v>78</v>
      </c>
      <c r="L41" t="s">
        <v>36</v>
      </c>
      <c r="M41" t="s">
        <v>19</v>
      </c>
      <c r="N41" t="s">
        <v>37</v>
      </c>
    </row>
    <row r="42" spans="1:14" x14ac:dyDescent="0.3">
      <c r="A42">
        <v>1041</v>
      </c>
      <c r="B42" s="3">
        <v>46151</v>
      </c>
      <c r="C42" t="s">
        <v>82</v>
      </c>
      <c r="D42" t="s">
        <v>15</v>
      </c>
      <c r="E42" t="s">
        <v>16</v>
      </c>
      <c r="F42" s="5">
        <v>1</v>
      </c>
      <c r="G42">
        <v>55000</v>
      </c>
      <c r="H42" s="4">
        <v>0.15</v>
      </c>
      <c r="I42" s="6">
        <v>46750</v>
      </c>
      <c r="J42" s="6">
        <v>7150</v>
      </c>
      <c r="K42" t="s">
        <v>67</v>
      </c>
      <c r="L42" t="s">
        <v>58</v>
      </c>
      <c r="M42" t="s">
        <v>43</v>
      </c>
      <c r="N42" t="s">
        <v>29</v>
      </c>
    </row>
    <row r="43" spans="1:14" x14ac:dyDescent="0.3">
      <c r="A43">
        <v>1042</v>
      </c>
      <c r="B43" s="3">
        <v>46157</v>
      </c>
      <c r="C43" t="s">
        <v>83</v>
      </c>
      <c r="D43" t="s">
        <v>45</v>
      </c>
      <c r="E43" t="s">
        <v>16</v>
      </c>
      <c r="F43" s="5">
        <v>6</v>
      </c>
      <c r="G43">
        <v>2500</v>
      </c>
      <c r="H43" s="4">
        <v>0.15</v>
      </c>
      <c r="I43" s="6">
        <v>12750</v>
      </c>
      <c r="J43" s="6">
        <v>1950</v>
      </c>
      <c r="K43" t="s">
        <v>52</v>
      </c>
      <c r="L43" t="s">
        <v>24</v>
      </c>
      <c r="M43" t="s">
        <v>19</v>
      </c>
      <c r="N43" t="s">
        <v>20</v>
      </c>
    </row>
    <row r="44" spans="1:14" x14ac:dyDescent="0.3">
      <c r="A44">
        <v>1043</v>
      </c>
      <c r="B44" s="3">
        <v>46080</v>
      </c>
      <c r="C44" t="s">
        <v>84</v>
      </c>
      <c r="D44" t="s">
        <v>34</v>
      </c>
      <c r="E44" t="s">
        <v>16</v>
      </c>
      <c r="F44" s="5">
        <v>6</v>
      </c>
      <c r="G44">
        <v>22000</v>
      </c>
      <c r="H44" s="4">
        <v>0.05</v>
      </c>
      <c r="I44" s="6">
        <v>125400</v>
      </c>
      <c r="J44" s="6">
        <v>30360</v>
      </c>
      <c r="K44" t="s">
        <v>52</v>
      </c>
      <c r="L44" t="s">
        <v>24</v>
      </c>
      <c r="M44" t="s">
        <v>19</v>
      </c>
      <c r="N44" t="s">
        <v>26</v>
      </c>
    </row>
    <row r="45" spans="1:14" x14ac:dyDescent="0.3">
      <c r="A45">
        <v>1044</v>
      </c>
      <c r="B45" s="3">
        <v>46098</v>
      </c>
      <c r="C45" t="s">
        <v>85</v>
      </c>
      <c r="D45" t="s">
        <v>39</v>
      </c>
      <c r="E45" t="s">
        <v>40</v>
      </c>
      <c r="F45" s="5">
        <v>2</v>
      </c>
      <c r="G45">
        <v>120</v>
      </c>
      <c r="H45" s="4">
        <v>0</v>
      </c>
      <c r="I45" s="6">
        <v>240</v>
      </c>
      <c r="J45" s="6">
        <v>67.2</v>
      </c>
      <c r="K45" t="s">
        <v>67</v>
      </c>
      <c r="L45" t="s">
        <v>58</v>
      </c>
      <c r="M45" t="s">
        <v>43</v>
      </c>
      <c r="N45" t="s">
        <v>29</v>
      </c>
    </row>
    <row r="46" spans="1:14" x14ac:dyDescent="0.3">
      <c r="A46">
        <v>1045</v>
      </c>
      <c r="B46" s="3">
        <v>46150</v>
      </c>
      <c r="C46" t="s">
        <v>86</v>
      </c>
      <c r="D46" t="s">
        <v>34</v>
      </c>
      <c r="E46" t="s">
        <v>16</v>
      </c>
      <c r="F46" s="5">
        <v>3</v>
      </c>
      <c r="G46">
        <v>22000</v>
      </c>
      <c r="H46" s="4">
        <v>0.15</v>
      </c>
      <c r="I46" s="6">
        <v>56100</v>
      </c>
      <c r="J46" s="6">
        <v>8580</v>
      </c>
      <c r="K46" t="s">
        <v>35</v>
      </c>
      <c r="L46" t="s">
        <v>36</v>
      </c>
      <c r="M46" t="s">
        <v>25</v>
      </c>
      <c r="N46" t="s">
        <v>29</v>
      </c>
    </row>
    <row r="47" spans="1:14" x14ac:dyDescent="0.3">
      <c r="A47">
        <v>1046</v>
      </c>
      <c r="B47" s="3">
        <v>46113</v>
      </c>
      <c r="C47" t="s">
        <v>87</v>
      </c>
      <c r="D47" t="s">
        <v>39</v>
      </c>
      <c r="E47" t="s">
        <v>40</v>
      </c>
      <c r="F47" s="5">
        <v>1</v>
      </c>
      <c r="G47">
        <v>120</v>
      </c>
      <c r="H47" s="4">
        <v>0.05</v>
      </c>
      <c r="I47" s="6">
        <v>114</v>
      </c>
      <c r="J47" s="6">
        <v>27.6</v>
      </c>
      <c r="K47" t="s">
        <v>78</v>
      </c>
      <c r="L47" t="s">
        <v>36</v>
      </c>
      <c r="M47" t="s">
        <v>43</v>
      </c>
      <c r="N47" t="s">
        <v>29</v>
      </c>
    </row>
    <row r="48" spans="1:14" x14ac:dyDescent="0.3">
      <c r="A48">
        <v>1047</v>
      </c>
      <c r="B48" s="3">
        <v>46078</v>
      </c>
      <c r="C48" t="s">
        <v>88</v>
      </c>
      <c r="D48" t="s">
        <v>39</v>
      </c>
      <c r="E48" t="s">
        <v>40</v>
      </c>
      <c r="F48" s="5">
        <v>1</v>
      </c>
      <c r="G48">
        <v>120</v>
      </c>
      <c r="H48" s="4">
        <v>0.15</v>
      </c>
      <c r="I48" s="6">
        <v>102</v>
      </c>
      <c r="J48" s="6">
        <v>15.6</v>
      </c>
      <c r="K48" t="s">
        <v>17</v>
      </c>
      <c r="L48" t="s">
        <v>18</v>
      </c>
      <c r="M48" t="s">
        <v>43</v>
      </c>
      <c r="N48" t="s">
        <v>59</v>
      </c>
    </row>
    <row r="49" spans="1:14" x14ac:dyDescent="0.3">
      <c r="A49">
        <v>1048</v>
      </c>
      <c r="B49" s="3">
        <v>46139</v>
      </c>
      <c r="C49" t="s">
        <v>89</v>
      </c>
      <c r="D49" t="s">
        <v>42</v>
      </c>
      <c r="E49" t="s">
        <v>16</v>
      </c>
      <c r="F49" s="5">
        <v>1</v>
      </c>
      <c r="G49">
        <v>14000</v>
      </c>
      <c r="H49" s="4">
        <v>0.05</v>
      </c>
      <c r="I49" s="6">
        <v>13300</v>
      </c>
      <c r="J49" s="6">
        <v>3220</v>
      </c>
      <c r="K49" t="s">
        <v>55</v>
      </c>
      <c r="L49" t="s">
        <v>24</v>
      </c>
      <c r="M49" t="s">
        <v>25</v>
      </c>
      <c r="N49" t="s">
        <v>59</v>
      </c>
    </row>
    <row r="50" spans="1:14" x14ac:dyDescent="0.3">
      <c r="A50">
        <v>1049</v>
      </c>
      <c r="B50" s="3">
        <v>46202</v>
      </c>
      <c r="C50" t="s">
        <v>90</v>
      </c>
      <c r="D50" t="s">
        <v>28</v>
      </c>
      <c r="E50" t="s">
        <v>16</v>
      </c>
      <c r="F50" s="5">
        <v>4</v>
      </c>
      <c r="G50">
        <v>16000</v>
      </c>
      <c r="H50" s="4">
        <v>0.1</v>
      </c>
      <c r="I50" s="6">
        <v>57600</v>
      </c>
      <c r="J50" s="6">
        <v>11520</v>
      </c>
      <c r="K50" t="s">
        <v>23</v>
      </c>
      <c r="L50" t="s">
        <v>24</v>
      </c>
      <c r="M50" t="s">
        <v>25</v>
      </c>
      <c r="N50" t="s">
        <v>26</v>
      </c>
    </row>
    <row r="51" spans="1:14" x14ac:dyDescent="0.3">
      <c r="A51">
        <v>1050</v>
      </c>
      <c r="B51" s="3">
        <v>46158</v>
      </c>
      <c r="C51" t="s">
        <v>91</v>
      </c>
      <c r="D51" t="s">
        <v>15</v>
      </c>
      <c r="E51" t="s">
        <v>16</v>
      </c>
      <c r="F51" s="5">
        <v>1</v>
      </c>
      <c r="G51">
        <v>55000</v>
      </c>
      <c r="H51" s="4">
        <v>0.15</v>
      </c>
      <c r="I51" s="6">
        <v>46750</v>
      </c>
      <c r="J51" s="6">
        <v>7150</v>
      </c>
      <c r="K51" t="s">
        <v>78</v>
      </c>
      <c r="L51" t="s">
        <v>36</v>
      </c>
      <c r="M51" t="s">
        <v>43</v>
      </c>
      <c r="N51" t="s">
        <v>26</v>
      </c>
    </row>
    <row r="52" spans="1:14" x14ac:dyDescent="0.3">
      <c r="A52">
        <v>1051</v>
      </c>
      <c r="B52" s="3">
        <v>46284</v>
      </c>
      <c r="C52" t="s">
        <v>82</v>
      </c>
      <c r="D52" t="s">
        <v>34</v>
      </c>
      <c r="E52" t="s">
        <v>16</v>
      </c>
      <c r="F52" s="5">
        <v>4</v>
      </c>
      <c r="G52">
        <v>22000</v>
      </c>
      <c r="H52" s="4">
        <v>0.05</v>
      </c>
      <c r="I52" s="6">
        <v>83600</v>
      </c>
      <c r="J52" s="6">
        <v>20240</v>
      </c>
      <c r="K52" t="s">
        <v>67</v>
      </c>
      <c r="L52" t="s">
        <v>58</v>
      </c>
      <c r="M52" t="s">
        <v>25</v>
      </c>
      <c r="N52" t="s">
        <v>26</v>
      </c>
    </row>
    <row r="53" spans="1:14" x14ac:dyDescent="0.3">
      <c r="A53">
        <v>1052</v>
      </c>
      <c r="B53" s="3">
        <v>46123</v>
      </c>
      <c r="C53" t="s">
        <v>92</v>
      </c>
      <c r="D53" t="s">
        <v>31</v>
      </c>
      <c r="E53" t="s">
        <v>32</v>
      </c>
      <c r="F53" s="5">
        <v>4</v>
      </c>
      <c r="G53">
        <v>12000</v>
      </c>
      <c r="H53" s="4">
        <v>0</v>
      </c>
      <c r="I53" s="6">
        <v>48000</v>
      </c>
      <c r="J53" s="6">
        <v>13440</v>
      </c>
      <c r="K53" t="s">
        <v>78</v>
      </c>
      <c r="L53" t="s">
        <v>36</v>
      </c>
      <c r="M53" t="s">
        <v>19</v>
      </c>
      <c r="N53" t="s">
        <v>20</v>
      </c>
    </row>
    <row r="54" spans="1:14" x14ac:dyDescent="0.3">
      <c r="A54">
        <v>1053</v>
      </c>
      <c r="B54" s="3">
        <v>46176</v>
      </c>
      <c r="C54" t="s">
        <v>93</v>
      </c>
      <c r="D54" t="s">
        <v>28</v>
      </c>
      <c r="E54" t="s">
        <v>16</v>
      </c>
      <c r="F54" s="5">
        <v>3</v>
      </c>
      <c r="G54">
        <v>16000</v>
      </c>
      <c r="H54" s="4">
        <v>0.15</v>
      </c>
      <c r="I54" s="6">
        <v>40800</v>
      </c>
      <c r="J54" s="6">
        <v>6240</v>
      </c>
      <c r="K54" t="s">
        <v>78</v>
      </c>
      <c r="L54" t="s">
        <v>36</v>
      </c>
      <c r="M54" t="s">
        <v>19</v>
      </c>
      <c r="N54" t="s">
        <v>29</v>
      </c>
    </row>
    <row r="55" spans="1:14" x14ac:dyDescent="0.3">
      <c r="A55">
        <v>1054</v>
      </c>
      <c r="B55" s="3">
        <v>46121</v>
      </c>
      <c r="C55" t="s">
        <v>94</v>
      </c>
      <c r="D55" t="s">
        <v>39</v>
      </c>
      <c r="E55" t="s">
        <v>40</v>
      </c>
      <c r="F55" s="5">
        <v>6</v>
      </c>
      <c r="G55">
        <v>120</v>
      </c>
      <c r="H55" s="4">
        <v>0.15</v>
      </c>
      <c r="I55" s="6">
        <v>612</v>
      </c>
      <c r="J55" s="6">
        <v>93.6</v>
      </c>
      <c r="K55" t="s">
        <v>47</v>
      </c>
      <c r="L55" t="s">
        <v>18</v>
      </c>
      <c r="M55" t="s">
        <v>43</v>
      </c>
      <c r="N55" t="s">
        <v>26</v>
      </c>
    </row>
    <row r="56" spans="1:14" x14ac:dyDescent="0.3">
      <c r="A56">
        <v>1055</v>
      </c>
      <c r="B56" s="3">
        <v>46023</v>
      </c>
      <c r="C56" t="s">
        <v>95</v>
      </c>
      <c r="D56" t="s">
        <v>51</v>
      </c>
      <c r="E56" t="s">
        <v>32</v>
      </c>
      <c r="F56" s="5">
        <v>3</v>
      </c>
      <c r="G56">
        <v>9000</v>
      </c>
      <c r="H56" s="4">
        <v>0.05</v>
      </c>
      <c r="I56" s="6">
        <v>25650</v>
      </c>
      <c r="J56" s="6">
        <v>6210</v>
      </c>
      <c r="K56" t="s">
        <v>55</v>
      </c>
      <c r="L56" t="s">
        <v>24</v>
      </c>
      <c r="M56" t="s">
        <v>43</v>
      </c>
      <c r="N56" t="s">
        <v>37</v>
      </c>
    </row>
    <row r="57" spans="1:14" x14ac:dyDescent="0.3">
      <c r="A57">
        <v>1056</v>
      </c>
      <c r="B57" s="3">
        <v>46249</v>
      </c>
      <c r="C57" t="s">
        <v>96</v>
      </c>
      <c r="D57" t="s">
        <v>42</v>
      </c>
      <c r="E57" t="s">
        <v>16</v>
      </c>
      <c r="F57" s="5">
        <v>5</v>
      </c>
      <c r="G57">
        <v>14000</v>
      </c>
      <c r="H57" s="4">
        <v>0.15</v>
      </c>
      <c r="I57" s="6">
        <v>59500</v>
      </c>
      <c r="J57" s="6">
        <v>9100</v>
      </c>
      <c r="K57" t="s">
        <v>47</v>
      </c>
      <c r="L57" t="s">
        <v>18</v>
      </c>
      <c r="M57" t="s">
        <v>43</v>
      </c>
      <c r="N57" t="s">
        <v>26</v>
      </c>
    </row>
    <row r="58" spans="1:14" x14ac:dyDescent="0.3">
      <c r="A58">
        <v>1057</v>
      </c>
      <c r="B58" s="3">
        <v>46194</v>
      </c>
      <c r="C58" t="s">
        <v>97</v>
      </c>
      <c r="D58" t="s">
        <v>34</v>
      </c>
      <c r="E58" t="s">
        <v>16</v>
      </c>
      <c r="F58" s="5">
        <v>2</v>
      </c>
      <c r="G58">
        <v>22000</v>
      </c>
      <c r="H58" s="4">
        <v>0.1</v>
      </c>
      <c r="I58" s="6">
        <v>39600</v>
      </c>
      <c r="J58" s="6">
        <v>7920</v>
      </c>
      <c r="K58" t="s">
        <v>17</v>
      </c>
      <c r="L58" t="s">
        <v>18</v>
      </c>
      <c r="M58" t="s">
        <v>25</v>
      </c>
      <c r="N58" t="s">
        <v>20</v>
      </c>
    </row>
    <row r="59" spans="1:14" x14ac:dyDescent="0.3">
      <c r="A59">
        <v>1058</v>
      </c>
      <c r="B59" s="3">
        <v>46148</v>
      </c>
      <c r="C59" t="s">
        <v>98</v>
      </c>
      <c r="D59" t="s">
        <v>75</v>
      </c>
      <c r="E59" t="s">
        <v>40</v>
      </c>
      <c r="F59" s="5">
        <v>5</v>
      </c>
      <c r="G59">
        <v>180</v>
      </c>
      <c r="H59" s="4">
        <v>0</v>
      </c>
      <c r="I59" s="6">
        <v>900</v>
      </c>
      <c r="J59" s="6">
        <v>252</v>
      </c>
      <c r="K59" t="s">
        <v>61</v>
      </c>
      <c r="L59" t="s">
        <v>24</v>
      </c>
      <c r="M59" t="s">
        <v>19</v>
      </c>
      <c r="N59" t="s">
        <v>37</v>
      </c>
    </row>
    <row r="60" spans="1:14" x14ac:dyDescent="0.3">
      <c r="A60">
        <v>1059</v>
      </c>
      <c r="B60" s="3">
        <v>46276</v>
      </c>
      <c r="C60" t="s">
        <v>73</v>
      </c>
      <c r="D60" t="s">
        <v>39</v>
      </c>
      <c r="E60" t="s">
        <v>40</v>
      </c>
      <c r="F60" s="5">
        <v>2</v>
      </c>
      <c r="G60">
        <v>120</v>
      </c>
      <c r="H60" s="4">
        <v>0.05</v>
      </c>
      <c r="I60" s="6">
        <v>228</v>
      </c>
      <c r="J60" s="6">
        <v>55.2</v>
      </c>
      <c r="K60" t="s">
        <v>23</v>
      </c>
      <c r="L60" t="s">
        <v>24</v>
      </c>
      <c r="M60" t="s">
        <v>43</v>
      </c>
      <c r="N60" t="s">
        <v>29</v>
      </c>
    </row>
    <row r="61" spans="1:14" x14ac:dyDescent="0.3">
      <c r="A61">
        <v>1060</v>
      </c>
      <c r="B61" s="3">
        <v>46113</v>
      </c>
      <c r="C61" t="s">
        <v>72</v>
      </c>
      <c r="D61" t="s">
        <v>28</v>
      </c>
      <c r="E61" t="s">
        <v>16</v>
      </c>
      <c r="F61" s="5">
        <v>4</v>
      </c>
      <c r="G61">
        <v>16000</v>
      </c>
      <c r="H61" s="4">
        <v>0</v>
      </c>
      <c r="I61" s="6">
        <v>64000</v>
      </c>
      <c r="J61" s="6">
        <v>17920</v>
      </c>
      <c r="K61" t="s">
        <v>52</v>
      </c>
      <c r="L61" t="s">
        <v>24</v>
      </c>
      <c r="M61" t="s">
        <v>43</v>
      </c>
      <c r="N61" t="s">
        <v>29</v>
      </c>
    </row>
    <row r="62" spans="1:14" x14ac:dyDescent="0.3">
      <c r="A62">
        <v>1061</v>
      </c>
      <c r="B62" s="3">
        <v>46260</v>
      </c>
      <c r="C62" t="s">
        <v>99</v>
      </c>
      <c r="D62" t="s">
        <v>28</v>
      </c>
      <c r="E62" t="s">
        <v>16</v>
      </c>
      <c r="F62" s="5">
        <v>5</v>
      </c>
      <c r="G62">
        <v>16000</v>
      </c>
      <c r="H62" s="4">
        <v>0.1</v>
      </c>
      <c r="I62" s="6">
        <v>72000</v>
      </c>
      <c r="J62" s="6">
        <v>14400</v>
      </c>
      <c r="K62" t="s">
        <v>61</v>
      </c>
      <c r="L62" t="s">
        <v>24</v>
      </c>
      <c r="M62" t="s">
        <v>19</v>
      </c>
      <c r="N62" t="s">
        <v>37</v>
      </c>
    </row>
    <row r="63" spans="1:14" x14ac:dyDescent="0.3">
      <c r="A63">
        <v>1062</v>
      </c>
      <c r="B63" s="3">
        <v>46104</v>
      </c>
      <c r="C63" t="s">
        <v>100</v>
      </c>
      <c r="D63" t="s">
        <v>75</v>
      </c>
      <c r="E63" t="s">
        <v>40</v>
      </c>
      <c r="F63" s="5">
        <v>4</v>
      </c>
      <c r="G63">
        <v>180</v>
      </c>
      <c r="H63" s="4">
        <v>0.1</v>
      </c>
      <c r="I63" s="6">
        <v>648</v>
      </c>
      <c r="J63" s="6">
        <v>129.6</v>
      </c>
      <c r="K63" t="s">
        <v>17</v>
      </c>
      <c r="L63" t="s">
        <v>18</v>
      </c>
      <c r="M63" t="s">
        <v>19</v>
      </c>
      <c r="N63" t="s">
        <v>37</v>
      </c>
    </row>
    <row r="64" spans="1:14" x14ac:dyDescent="0.3">
      <c r="A64">
        <v>1063</v>
      </c>
      <c r="B64" s="3">
        <v>46145</v>
      </c>
      <c r="C64" t="s">
        <v>101</v>
      </c>
      <c r="D64" t="s">
        <v>51</v>
      </c>
      <c r="E64" t="s">
        <v>32</v>
      </c>
      <c r="F64" s="5">
        <v>4</v>
      </c>
      <c r="G64">
        <v>9000</v>
      </c>
      <c r="H64" s="4">
        <v>0</v>
      </c>
      <c r="I64" s="6">
        <v>36000</v>
      </c>
      <c r="J64" s="6">
        <v>10080</v>
      </c>
      <c r="K64" t="s">
        <v>67</v>
      </c>
      <c r="L64" t="s">
        <v>58</v>
      </c>
      <c r="M64" t="s">
        <v>43</v>
      </c>
      <c r="N64" t="s">
        <v>59</v>
      </c>
    </row>
    <row r="65" spans="1:14" x14ac:dyDescent="0.3">
      <c r="A65">
        <v>1064</v>
      </c>
      <c r="B65" s="3">
        <v>46064</v>
      </c>
      <c r="C65" t="s">
        <v>102</v>
      </c>
      <c r="D65" t="s">
        <v>45</v>
      </c>
      <c r="E65" t="s">
        <v>16</v>
      </c>
      <c r="F65" s="5">
        <v>2</v>
      </c>
      <c r="G65">
        <v>2500</v>
      </c>
      <c r="H65" s="4">
        <v>0.05</v>
      </c>
      <c r="I65" s="6">
        <v>4750</v>
      </c>
      <c r="J65" s="6">
        <v>1150</v>
      </c>
      <c r="K65" t="s">
        <v>55</v>
      </c>
      <c r="L65" t="s">
        <v>24</v>
      </c>
      <c r="M65" t="s">
        <v>19</v>
      </c>
      <c r="N65" t="s">
        <v>29</v>
      </c>
    </row>
    <row r="66" spans="1:14" x14ac:dyDescent="0.3">
      <c r="A66">
        <v>1065</v>
      </c>
      <c r="B66" s="3">
        <v>46055</v>
      </c>
      <c r="C66" t="s">
        <v>71</v>
      </c>
      <c r="D66" t="s">
        <v>39</v>
      </c>
      <c r="E66" t="s">
        <v>40</v>
      </c>
      <c r="F66" s="5">
        <v>4</v>
      </c>
      <c r="G66">
        <v>120</v>
      </c>
      <c r="H66" s="4">
        <v>0.1</v>
      </c>
      <c r="I66" s="6">
        <v>432</v>
      </c>
      <c r="J66" s="6">
        <v>86.4</v>
      </c>
      <c r="K66" t="s">
        <v>52</v>
      </c>
      <c r="L66" t="s">
        <v>24</v>
      </c>
      <c r="M66" t="s">
        <v>25</v>
      </c>
      <c r="N66" t="s">
        <v>29</v>
      </c>
    </row>
    <row r="67" spans="1:14" x14ac:dyDescent="0.3">
      <c r="A67">
        <v>1066</v>
      </c>
      <c r="B67" s="3">
        <v>46238</v>
      </c>
      <c r="C67" t="s">
        <v>103</v>
      </c>
      <c r="D67" t="s">
        <v>39</v>
      </c>
      <c r="E67" t="s">
        <v>40</v>
      </c>
      <c r="F67" s="5">
        <v>5</v>
      </c>
      <c r="G67">
        <v>120</v>
      </c>
      <c r="H67" s="4">
        <v>0</v>
      </c>
      <c r="I67" s="6">
        <v>600</v>
      </c>
      <c r="J67" s="6">
        <v>168</v>
      </c>
      <c r="K67" t="s">
        <v>35</v>
      </c>
      <c r="L67" t="s">
        <v>36</v>
      </c>
      <c r="M67" t="s">
        <v>25</v>
      </c>
      <c r="N67" t="s">
        <v>59</v>
      </c>
    </row>
    <row r="68" spans="1:14" x14ac:dyDescent="0.3">
      <c r="A68">
        <v>1067</v>
      </c>
      <c r="B68" s="3">
        <v>46175</v>
      </c>
      <c r="C68" t="s">
        <v>104</v>
      </c>
      <c r="D68" t="s">
        <v>39</v>
      </c>
      <c r="E68" t="s">
        <v>40</v>
      </c>
      <c r="F68" s="5">
        <v>4</v>
      </c>
      <c r="G68">
        <v>120</v>
      </c>
      <c r="H68" s="4">
        <v>0.05</v>
      </c>
      <c r="I68" s="6">
        <v>456</v>
      </c>
      <c r="J68" s="6">
        <v>110.4</v>
      </c>
      <c r="K68" t="s">
        <v>61</v>
      </c>
      <c r="L68" t="s">
        <v>24</v>
      </c>
      <c r="M68" t="s">
        <v>43</v>
      </c>
      <c r="N68" t="s">
        <v>37</v>
      </c>
    </row>
    <row r="69" spans="1:14" x14ac:dyDescent="0.3">
      <c r="A69">
        <v>1068</v>
      </c>
      <c r="B69" s="3">
        <v>46037</v>
      </c>
      <c r="C69" t="s">
        <v>71</v>
      </c>
      <c r="D69" t="s">
        <v>39</v>
      </c>
      <c r="E69" t="s">
        <v>40</v>
      </c>
      <c r="F69" s="5">
        <v>3</v>
      </c>
      <c r="G69">
        <v>120</v>
      </c>
      <c r="H69" s="4">
        <v>0.15</v>
      </c>
      <c r="I69" s="6">
        <v>306</v>
      </c>
      <c r="J69" s="6">
        <v>46.8</v>
      </c>
      <c r="K69" t="s">
        <v>47</v>
      </c>
      <c r="L69" t="s">
        <v>18</v>
      </c>
      <c r="M69" t="s">
        <v>19</v>
      </c>
      <c r="N69" t="s">
        <v>26</v>
      </c>
    </row>
    <row r="70" spans="1:14" x14ac:dyDescent="0.3">
      <c r="A70">
        <v>1069</v>
      </c>
      <c r="B70" s="3">
        <v>46036</v>
      </c>
      <c r="C70" t="s">
        <v>105</v>
      </c>
      <c r="D70" t="s">
        <v>39</v>
      </c>
      <c r="E70" t="s">
        <v>40</v>
      </c>
      <c r="F70" s="5">
        <v>5</v>
      </c>
      <c r="G70">
        <v>120</v>
      </c>
      <c r="H70" s="4">
        <v>0</v>
      </c>
      <c r="I70" s="6">
        <v>600</v>
      </c>
      <c r="J70" s="6">
        <v>168</v>
      </c>
      <c r="K70" t="s">
        <v>57</v>
      </c>
      <c r="L70" t="s">
        <v>58</v>
      </c>
      <c r="M70" t="s">
        <v>25</v>
      </c>
      <c r="N70" t="s">
        <v>37</v>
      </c>
    </row>
    <row r="71" spans="1:14" x14ac:dyDescent="0.3">
      <c r="A71">
        <v>1070</v>
      </c>
      <c r="B71" s="3">
        <v>46116</v>
      </c>
      <c r="C71" t="s">
        <v>106</v>
      </c>
      <c r="D71" t="s">
        <v>15</v>
      </c>
      <c r="E71" t="s">
        <v>16</v>
      </c>
      <c r="F71" s="5">
        <v>3</v>
      </c>
      <c r="G71">
        <v>55000</v>
      </c>
      <c r="H71" s="4">
        <v>0.15</v>
      </c>
      <c r="I71" s="6">
        <v>140250</v>
      </c>
      <c r="J71" s="6">
        <v>21450</v>
      </c>
      <c r="K71" t="s">
        <v>78</v>
      </c>
      <c r="L71" t="s">
        <v>36</v>
      </c>
      <c r="M71" t="s">
        <v>43</v>
      </c>
      <c r="N71" t="s">
        <v>59</v>
      </c>
    </row>
    <row r="72" spans="1:14" x14ac:dyDescent="0.3">
      <c r="A72">
        <v>1071</v>
      </c>
      <c r="B72" s="3">
        <v>46217</v>
      </c>
      <c r="C72" t="s">
        <v>107</v>
      </c>
      <c r="D72" t="s">
        <v>51</v>
      </c>
      <c r="E72" t="s">
        <v>32</v>
      </c>
      <c r="F72" s="5">
        <v>4</v>
      </c>
      <c r="G72">
        <v>9000</v>
      </c>
      <c r="H72" s="4">
        <v>0.1</v>
      </c>
      <c r="I72" s="6">
        <v>32400</v>
      </c>
      <c r="J72" s="6">
        <v>6480</v>
      </c>
      <c r="K72" t="s">
        <v>57</v>
      </c>
      <c r="L72" t="s">
        <v>58</v>
      </c>
      <c r="M72" t="s">
        <v>19</v>
      </c>
      <c r="N72" t="s">
        <v>26</v>
      </c>
    </row>
    <row r="73" spans="1:14" x14ac:dyDescent="0.3">
      <c r="A73">
        <v>1072</v>
      </c>
      <c r="B73" s="3">
        <v>46049</v>
      </c>
      <c r="C73" t="s">
        <v>108</v>
      </c>
      <c r="D73" t="s">
        <v>31</v>
      </c>
      <c r="E73" t="s">
        <v>32</v>
      </c>
      <c r="F73" s="5">
        <v>2</v>
      </c>
      <c r="G73">
        <v>12000</v>
      </c>
      <c r="H73" s="4">
        <v>0</v>
      </c>
      <c r="I73" s="6">
        <v>24000</v>
      </c>
      <c r="J73" s="6">
        <v>6720</v>
      </c>
      <c r="K73" t="s">
        <v>23</v>
      </c>
      <c r="L73" t="s">
        <v>24</v>
      </c>
      <c r="M73" t="s">
        <v>25</v>
      </c>
      <c r="N73" t="s">
        <v>29</v>
      </c>
    </row>
    <row r="74" spans="1:14" x14ac:dyDescent="0.3">
      <c r="A74">
        <v>1073</v>
      </c>
      <c r="B74" s="3">
        <v>46033</v>
      </c>
      <c r="C74" t="s">
        <v>70</v>
      </c>
      <c r="D74" t="s">
        <v>22</v>
      </c>
      <c r="E74" t="s">
        <v>16</v>
      </c>
      <c r="F74" s="5">
        <v>2</v>
      </c>
      <c r="G74">
        <v>1800</v>
      </c>
      <c r="H74" s="4">
        <v>0.05</v>
      </c>
      <c r="I74" s="6">
        <v>3420</v>
      </c>
      <c r="J74" s="6">
        <v>828</v>
      </c>
      <c r="K74" t="s">
        <v>47</v>
      </c>
      <c r="L74" t="s">
        <v>18</v>
      </c>
      <c r="M74" t="s">
        <v>19</v>
      </c>
      <c r="N74" t="s">
        <v>29</v>
      </c>
    </row>
    <row r="75" spans="1:14" x14ac:dyDescent="0.3">
      <c r="A75">
        <v>1074</v>
      </c>
      <c r="B75" s="3">
        <v>46261</v>
      </c>
      <c r="C75" t="s">
        <v>62</v>
      </c>
      <c r="D75" t="s">
        <v>51</v>
      </c>
      <c r="E75" t="s">
        <v>32</v>
      </c>
      <c r="F75" s="5">
        <v>3</v>
      </c>
      <c r="G75">
        <v>9000</v>
      </c>
      <c r="H75" s="4">
        <v>0.05</v>
      </c>
      <c r="I75" s="6">
        <v>25650</v>
      </c>
      <c r="J75" s="6">
        <v>6210</v>
      </c>
      <c r="K75" t="s">
        <v>35</v>
      </c>
      <c r="L75" t="s">
        <v>36</v>
      </c>
      <c r="M75" t="s">
        <v>25</v>
      </c>
      <c r="N75" t="s">
        <v>59</v>
      </c>
    </row>
    <row r="76" spans="1:14" x14ac:dyDescent="0.3">
      <c r="A76">
        <v>1075</v>
      </c>
      <c r="B76" s="3">
        <v>46078</v>
      </c>
      <c r="C76" t="s">
        <v>109</v>
      </c>
      <c r="D76" t="s">
        <v>22</v>
      </c>
      <c r="E76" t="s">
        <v>16</v>
      </c>
      <c r="F76" s="5">
        <v>1</v>
      </c>
      <c r="G76">
        <v>1800</v>
      </c>
      <c r="H76" s="4">
        <v>0.1</v>
      </c>
      <c r="I76" s="6">
        <v>1620</v>
      </c>
      <c r="J76" s="6">
        <v>324</v>
      </c>
      <c r="K76" t="s">
        <v>35</v>
      </c>
      <c r="L76" t="s">
        <v>36</v>
      </c>
      <c r="M76" t="s">
        <v>43</v>
      </c>
      <c r="N76" t="s">
        <v>29</v>
      </c>
    </row>
    <row r="77" spans="1:14" x14ac:dyDescent="0.3">
      <c r="A77">
        <v>1076</v>
      </c>
      <c r="B77" s="3">
        <v>46061</v>
      </c>
      <c r="C77" t="s">
        <v>110</v>
      </c>
      <c r="D77" t="s">
        <v>22</v>
      </c>
      <c r="E77" t="s">
        <v>16</v>
      </c>
      <c r="F77" s="5">
        <v>6</v>
      </c>
      <c r="G77">
        <v>1800</v>
      </c>
      <c r="H77" s="4">
        <v>0.05</v>
      </c>
      <c r="I77" s="6">
        <v>10260</v>
      </c>
      <c r="J77" s="6">
        <v>2484</v>
      </c>
      <c r="K77" t="s">
        <v>57</v>
      </c>
      <c r="L77" t="s">
        <v>58</v>
      </c>
      <c r="M77" t="s">
        <v>19</v>
      </c>
      <c r="N77" t="s">
        <v>26</v>
      </c>
    </row>
    <row r="78" spans="1:14" x14ac:dyDescent="0.3">
      <c r="A78">
        <v>1077</v>
      </c>
      <c r="B78" s="3">
        <v>46084</v>
      </c>
      <c r="C78" t="s">
        <v>111</v>
      </c>
      <c r="D78" t="s">
        <v>22</v>
      </c>
      <c r="E78" t="s">
        <v>16</v>
      </c>
      <c r="F78" s="5">
        <v>1</v>
      </c>
      <c r="G78">
        <v>1800</v>
      </c>
      <c r="H78" s="4">
        <v>0.1</v>
      </c>
      <c r="I78" s="6">
        <v>1620</v>
      </c>
      <c r="J78" s="6">
        <v>324</v>
      </c>
      <c r="K78" t="s">
        <v>52</v>
      </c>
      <c r="L78" t="s">
        <v>24</v>
      </c>
      <c r="M78" t="s">
        <v>25</v>
      </c>
      <c r="N78" t="s">
        <v>26</v>
      </c>
    </row>
    <row r="79" spans="1:14" x14ac:dyDescent="0.3">
      <c r="A79">
        <v>1078</v>
      </c>
      <c r="B79" s="3">
        <v>46197</v>
      </c>
      <c r="C79" t="s">
        <v>112</v>
      </c>
      <c r="D79" t="s">
        <v>15</v>
      </c>
      <c r="E79" t="s">
        <v>16</v>
      </c>
      <c r="F79" s="5">
        <v>4</v>
      </c>
      <c r="G79">
        <v>55000</v>
      </c>
      <c r="H79" s="4">
        <v>0.15</v>
      </c>
      <c r="I79" s="6">
        <v>187000</v>
      </c>
      <c r="J79" s="6">
        <v>28600</v>
      </c>
      <c r="K79" t="s">
        <v>57</v>
      </c>
      <c r="L79" t="s">
        <v>58</v>
      </c>
      <c r="M79" t="s">
        <v>19</v>
      </c>
      <c r="N79" t="s">
        <v>37</v>
      </c>
    </row>
    <row r="80" spans="1:14" x14ac:dyDescent="0.3">
      <c r="A80">
        <v>1079</v>
      </c>
      <c r="B80" s="3">
        <v>46101</v>
      </c>
      <c r="C80" t="s">
        <v>50</v>
      </c>
      <c r="D80" t="s">
        <v>39</v>
      </c>
      <c r="E80" t="s">
        <v>40</v>
      </c>
      <c r="F80" s="5">
        <v>2</v>
      </c>
      <c r="G80">
        <v>120</v>
      </c>
      <c r="H80" s="4">
        <v>0.1</v>
      </c>
      <c r="I80" s="6">
        <v>216</v>
      </c>
      <c r="J80" s="6">
        <v>43.2</v>
      </c>
      <c r="K80" t="s">
        <v>35</v>
      </c>
      <c r="L80" t="s">
        <v>36</v>
      </c>
      <c r="M80" t="s">
        <v>43</v>
      </c>
      <c r="N80" t="s">
        <v>37</v>
      </c>
    </row>
    <row r="81" spans="1:14" x14ac:dyDescent="0.3">
      <c r="A81">
        <v>1080</v>
      </c>
      <c r="B81" s="3">
        <v>46160</v>
      </c>
      <c r="C81" t="s">
        <v>113</v>
      </c>
      <c r="D81" t="s">
        <v>31</v>
      </c>
      <c r="E81" t="s">
        <v>32</v>
      </c>
      <c r="F81" s="5">
        <v>2</v>
      </c>
      <c r="G81">
        <v>12000</v>
      </c>
      <c r="H81" s="4">
        <v>0</v>
      </c>
      <c r="I81" s="6">
        <v>24000</v>
      </c>
      <c r="J81" s="6">
        <v>6720</v>
      </c>
      <c r="K81" t="s">
        <v>67</v>
      </c>
      <c r="L81" t="s">
        <v>58</v>
      </c>
      <c r="M81" t="s">
        <v>43</v>
      </c>
      <c r="N81" t="s">
        <v>26</v>
      </c>
    </row>
    <row r="82" spans="1:14" x14ac:dyDescent="0.3">
      <c r="A82">
        <v>1081</v>
      </c>
      <c r="B82" s="3">
        <v>46217</v>
      </c>
      <c r="C82" t="s">
        <v>114</v>
      </c>
      <c r="D82" t="s">
        <v>31</v>
      </c>
      <c r="E82" t="s">
        <v>32</v>
      </c>
      <c r="F82" s="5">
        <v>1</v>
      </c>
      <c r="G82">
        <v>12000</v>
      </c>
      <c r="H82" s="4">
        <v>0.15</v>
      </c>
      <c r="I82" s="6">
        <v>10200</v>
      </c>
      <c r="J82" s="6">
        <v>1560</v>
      </c>
      <c r="K82" t="s">
        <v>78</v>
      </c>
      <c r="L82" t="s">
        <v>36</v>
      </c>
      <c r="M82" t="s">
        <v>25</v>
      </c>
      <c r="N82" t="s">
        <v>59</v>
      </c>
    </row>
    <row r="83" spans="1:14" x14ac:dyDescent="0.3">
      <c r="A83">
        <v>1082</v>
      </c>
      <c r="B83" s="3">
        <v>46155</v>
      </c>
      <c r="C83" t="s">
        <v>115</v>
      </c>
      <c r="D83" t="s">
        <v>31</v>
      </c>
      <c r="E83" t="s">
        <v>32</v>
      </c>
      <c r="F83" s="5">
        <v>3</v>
      </c>
      <c r="G83">
        <v>12000</v>
      </c>
      <c r="H83" s="4">
        <v>0.1</v>
      </c>
      <c r="I83" s="6">
        <v>32400</v>
      </c>
      <c r="J83" s="6">
        <v>6480</v>
      </c>
      <c r="K83" t="s">
        <v>52</v>
      </c>
      <c r="L83" t="s">
        <v>24</v>
      </c>
      <c r="M83" t="s">
        <v>25</v>
      </c>
      <c r="N83" t="s">
        <v>29</v>
      </c>
    </row>
    <row r="84" spans="1:14" x14ac:dyDescent="0.3">
      <c r="A84">
        <v>1083</v>
      </c>
      <c r="B84" s="3">
        <v>46231</v>
      </c>
      <c r="C84" t="s">
        <v>116</v>
      </c>
      <c r="D84" t="s">
        <v>75</v>
      </c>
      <c r="E84" t="s">
        <v>40</v>
      </c>
      <c r="F84" s="5">
        <v>5</v>
      </c>
      <c r="G84">
        <v>180</v>
      </c>
      <c r="H84" s="4">
        <v>0.05</v>
      </c>
      <c r="I84" s="6">
        <v>855</v>
      </c>
      <c r="J84" s="6">
        <v>207</v>
      </c>
      <c r="K84" t="s">
        <v>61</v>
      </c>
      <c r="L84" t="s">
        <v>24</v>
      </c>
      <c r="M84" t="s">
        <v>43</v>
      </c>
      <c r="N84" t="s">
        <v>20</v>
      </c>
    </row>
    <row r="85" spans="1:14" x14ac:dyDescent="0.3">
      <c r="A85">
        <v>1084</v>
      </c>
      <c r="B85" s="3">
        <v>46070</v>
      </c>
      <c r="C85" t="s">
        <v>117</v>
      </c>
      <c r="D85" t="s">
        <v>51</v>
      </c>
      <c r="E85" t="s">
        <v>32</v>
      </c>
      <c r="F85" s="5">
        <v>2</v>
      </c>
      <c r="G85">
        <v>9000</v>
      </c>
      <c r="H85" s="4">
        <v>0.15</v>
      </c>
      <c r="I85" s="6">
        <v>15300</v>
      </c>
      <c r="J85" s="6">
        <v>2340</v>
      </c>
      <c r="K85" t="s">
        <v>17</v>
      </c>
      <c r="L85" t="s">
        <v>18</v>
      </c>
      <c r="M85" t="s">
        <v>43</v>
      </c>
      <c r="N85" t="s">
        <v>26</v>
      </c>
    </row>
    <row r="86" spans="1:14" x14ac:dyDescent="0.3">
      <c r="A86">
        <v>1085</v>
      </c>
      <c r="B86" s="3">
        <v>46294</v>
      </c>
      <c r="C86" t="s">
        <v>118</v>
      </c>
      <c r="D86" t="s">
        <v>31</v>
      </c>
      <c r="E86" t="s">
        <v>32</v>
      </c>
      <c r="F86" s="5">
        <v>4</v>
      </c>
      <c r="G86">
        <v>12000</v>
      </c>
      <c r="H86" s="4">
        <v>0.1</v>
      </c>
      <c r="I86" s="6">
        <v>43200</v>
      </c>
      <c r="J86" s="6">
        <v>8640</v>
      </c>
      <c r="K86" t="s">
        <v>78</v>
      </c>
      <c r="L86" t="s">
        <v>36</v>
      </c>
      <c r="M86" t="s">
        <v>43</v>
      </c>
      <c r="N86" t="s">
        <v>59</v>
      </c>
    </row>
    <row r="87" spans="1:14" x14ac:dyDescent="0.3">
      <c r="A87">
        <v>1086</v>
      </c>
      <c r="B87" s="3">
        <v>46151</v>
      </c>
      <c r="C87" t="s">
        <v>119</v>
      </c>
      <c r="D87" t="s">
        <v>42</v>
      </c>
      <c r="E87" t="s">
        <v>16</v>
      </c>
      <c r="F87" s="5">
        <v>1</v>
      </c>
      <c r="G87">
        <v>14000</v>
      </c>
      <c r="H87" s="4">
        <v>0.05</v>
      </c>
      <c r="I87" s="6">
        <v>13300</v>
      </c>
      <c r="J87" s="6">
        <v>3220</v>
      </c>
      <c r="K87" t="s">
        <v>78</v>
      </c>
      <c r="L87" t="s">
        <v>36</v>
      </c>
      <c r="M87" t="s">
        <v>25</v>
      </c>
      <c r="N87" t="s">
        <v>29</v>
      </c>
    </row>
    <row r="88" spans="1:14" x14ac:dyDescent="0.3">
      <c r="A88">
        <v>1087</v>
      </c>
      <c r="B88" s="3">
        <v>46270</v>
      </c>
      <c r="C88" t="s">
        <v>234</v>
      </c>
      <c r="D88" t="s">
        <v>51</v>
      </c>
      <c r="E88" t="s">
        <v>32</v>
      </c>
      <c r="F88" s="5">
        <v>6</v>
      </c>
      <c r="G88">
        <v>9000</v>
      </c>
      <c r="H88" s="4">
        <v>0.1</v>
      </c>
      <c r="I88" s="6">
        <v>48600</v>
      </c>
      <c r="J88" s="6">
        <v>9720</v>
      </c>
      <c r="K88" t="s">
        <v>57</v>
      </c>
      <c r="L88" t="s">
        <v>58</v>
      </c>
      <c r="M88" t="s">
        <v>25</v>
      </c>
      <c r="N88" t="s">
        <v>59</v>
      </c>
    </row>
    <row r="89" spans="1:14" x14ac:dyDescent="0.3">
      <c r="A89">
        <v>1088</v>
      </c>
      <c r="B89" s="3">
        <v>46114</v>
      </c>
      <c r="C89" t="s">
        <v>82</v>
      </c>
      <c r="D89" t="s">
        <v>51</v>
      </c>
      <c r="E89" t="s">
        <v>32</v>
      </c>
      <c r="F89" s="5">
        <v>1</v>
      </c>
      <c r="G89">
        <v>9000</v>
      </c>
      <c r="H89" s="4">
        <v>0.05</v>
      </c>
      <c r="I89" s="6">
        <v>8550</v>
      </c>
      <c r="J89" s="6">
        <v>2070</v>
      </c>
      <c r="K89" t="s">
        <v>67</v>
      </c>
      <c r="L89" t="s">
        <v>58</v>
      </c>
      <c r="M89" t="s">
        <v>19</v>
      </c>
      <c r="N89" t="s">
        <v>59</v>
      </c>
    </row>
    <row r="90" spans="1:14" x14ac:dyDescent="0.3">
      <c r="A90">
        <v>1089</v>
      </c>
      <c r="B90" s="3">
        <v>46087</v>
      </c>
      <c r="C90" t="s">
        <v>120</v>
      </c>
      <c r="D90" t="s">
        <v>75</v>
      </c>
      <c r="E90" t="s">
        <v>40</v>
      </c>
      <c r="F90" s="5">
        <v>1</v>
      </c>
      <c r="G90">
        <v>180</v>
      </c>
      <c r="H90" s="4">
        <v>0</v>
      </c>
      <c r="I90" s="6">
        <v>180</v>
      </c>
      <c r="J90" s="6">
        <v>50.4</v>
      </c>
      <c r="K90" t="s">
        <v>35</v>
      </c>
      <c r="L90" t="s">
        <v>36</v>
      </c>
      <c r="M90" t="s">
        <v>43</v>
      </c>
      <c r="N90" t="s">
        <v>37</v>
      </c>
    </row>
    <row r="91" spans="1:14" x14ac:dyDescent="0.3">
      <c r="A91">
        <v>1090</v>
      </c>
      <c r="B91" s="3">
        <v>46197</v>
      </c>
      <c r="C91" t="s">
        <v>90</v>
      </c>
      <c r="D91" t="s">
        <v>45</v>
      </c>
      <c r="E91" t="s">
        <v>16</v>
      </c>
      <c r="F91" s="5">
        <v>1</v>
      </c>
      <c r="G91">
        <v>2500</v>
      </c>
      <c r="H91" s="4">
        <v>0.1</v>
      </c>
      <c r="I91" s="6">
        <v>2250</v>
      </c>
      <c r="J91" s="6">
        <v>450</v>
      </c>
      <c r="K91" t="s">
        <v>61</v>
      </c>
      <c r="L91" t="s">
        <v>24</v>
      </c>
      <c r="M91" t="s">
        <v>43</v>
      </c>
      <c r="N91" t="s">
        <v>37</v>
      </c>
    </row>
    <row r="92" spans="1:14" x14ac:dyDescent="0.3">
      <c r="A92">
        <v>1091</v>
      </c>
      <c r="B92" s="3">
        <v>46060</v>
      </c>
      <c r="C92" t="s">
        <v>121</v>
      </c>
      <c r="D92" t="s">
        <v>22</v>
      </c>
      <c r="E92" t="s">
        <v>16</v>
      </c>
      <c r="F92" s="5">
        <v>6</v>
      </c>
      <c r="G92">
        <v>1800</v>
      </c>
      <c r="H92" s="4">
        <v>0</v>
      </c>
      <c r="I92" s="6">
        <v>10800</v>
      </c>
      <c r="J92" s="6">
        <v>3024</v>
      </c>
      <c r="K92" t="s">
        <v>47</v>
      </c>
      <c r="L92" t="s">
        <v>18</v>
      </c>
      <c r="M92" t="s">
        <v>25</v>
      </c>
      <c r="N92" t="s">
        <v>29</v>
      </c>
    </row>
    <row r="93" spans="1:14" x14ac:dyDescent="0.3">
      <c r="A93">
        <v>1092</v>
      </c>
      <c r="B93" s="3">
        <v>46083</v>
      </c>
      <c r="C93" t="s">
        <v>103</v>
      </c>
      <c r="D93" t="s">
        <v>28</v>
      </c>
      <c r="E93" t="s">
        <v>16</v>
      </c>
      <c r="F93" s="5">
        <v>4</v>
      </c>
      <c r="G93">
        <v>16000</v>
      </c>
      <c r="H93" s="4">
        <v>0.05</v>
      </c>
      <c r="I93" s="6">
        <v>60800</v>
      </c>
      <c r="J93" s="6">
        <v>14720</v>
      </c>
      <c r="K93" t="s">
        <v>52</v>
      </c>
      <c r="L93" t="s">
        <v>24</v>
      </c>
      <c r="M93" t="s">
        <v>43</v>
      </c>
      <c r="N93" t="s">
        <v>59</v>
      </c>
    </row>
    <row r="94" spans="1:14" x14ac:dyDescent="0.3">
      <c r="A94">
        <v>1093</v>
      </c>
      <c r="B94" s="3">
        <v>46242</v>
      </c>
      <c r="C94" t="s">
        <v>122</v>
      </c>
      <c r="D94" t="s">
        <v>51</v>
      </c>
      <c r="E94" t="s">
        <v>32</v>
      </c>
      <c r="F94" s="5">
        <v>5</v>
      </c>
      <c r="G94">
        <v>9000</v>
      </c>
      <c r="H94" s="4">
        <v>0</v>
      </c>
      <c r="I94" s="6">
        <v>45000</v>
      </c>
      <c r="J94" s="6">
        <v>12600</v>
      </c>
      <c r="K94" t="s">
        <v>35</v>
      </c>
      <c r="L94" t="s">
        <v>36</v>
      </c>
      <c r="M94" t="s">
        <v>25</v>
      </c>
      <c r="N94" t="s">
        <v>29</v>
      </c>
    </row>
    <row r="95" spans="1:14" x14ac:dyDescent="0.3">
      <c r="A95">
        <v>1094</v>
      </c>
      <c r="B95" s="3">
        <v>46158</v>
      </c>
      <c r="C95" t="s">
        <v>123</v>
      </c>
      <c r="D95" t="s">
        <v>34</v>
      </c>
      <c r="E95" t="s">
        <v>16</v>
      </c>
      <c r="F95" s="5">
        <v>2</v>
      </c>
      <c r="G95">
        <v>22000</v>
      </c>
      <c r="H95" s="4">
        <v>0.05</v>
      </c>
      <c r="I95" s="6">
        <v>41800</v>
      </c>
      <c r="J95" s="6">
        <v>10120</v>
      </c>
      <c r="K95" t="s">
        <v>47</v>
      </c>
      <c r="L95" t="s">
        <v>18</v>
      </c>
      <c r="M95" t="s">
        <v>25</v>
      </c>
      <c r="N95" t="s">
        <v>20</v>
      </c>
    </row>
    <row r="96" spans="1:14" x14ac:dyDescent="0.3">
      <c r="A96">
        <v>1095</v>
      </c>
      <c r="B96" s="3">
        <v>46232</v>
      </c>
      <c r="C96" t="s">
        <v>124</v>
      </c>
      <c r="D96" t="s">
        <v>75</v>
      </c>
      <c r="E96" t="s">
        <v>40</v>
      </c>
      <c r="F96" s="5">
        <v>6</v>
      </c>
      <c r="G96">
        <v>180</v>
      </c>
      <c r="H96" s="4">
        <v>0.15</v>
      </c>
      <c r="I96" s="6">
        <v>918</v>
      </c>
      <c r="J96" s="6">
        <v>140.4</v>
      </c>
      <c r="K96" t="s">
        <v>67</v>
      </c>
      <c r="L96" t="s">
        <v>58</v>
      </c>
      <c r="M96" t="s">
        <v>43</v>
      </c>
      <c r="N96" t="s">
        <v>59</v>
      </c>
    </row>
    <row r="97" spans="1:14" x14ac:dyDescent="0.3">
      <c r="A97">
        <v>1096</v>
      </c>
      <c r="B97" s="3">
        <v>46255</v>
      </c>
      <c r="C97" t="s">
        <v>125</v>
      </c>
      <c r="D97" t="s">
        <v>34</v>
      </c>
      <c r="E97" t="s">
        <v>16</v>
      </c>
      <c r="F97" s="5">
        <v>6</v>
      </c>
      <c r="G97">
        <v>22000</v>
      </c>
      <c r="H97" s="4">
        <v>0.05</v>
      </c>
      <c r="I97" s="6">
        <v>125400</v>
      </c>
      <c r="J97" s="6">
        <v>30360</v>
      </c>
      <c r="K97" t="s">
        <v>67</v>
      </c>
      <c r="L97" t="s">
        <v>58</v>
      </c>
      <c r="M97" t="s">
        <v>43</v>
      </c>
      <c r="N97" t="s">
        <v>20</v>
      </c>
    </row>
    <row r="98" spans="1:14" x14ac:dyDescent="0.3">
      <c r="A98">
        <v>1097</v>
      </c>
      <c r="B98" s="3">
        <v>46138</v>
      </c>
      <c r="C98" t="s">
        <v>126</v>
      </c>
      <c r="D98" t="s">
        <v>45</v>
      </c>
      <c r="E98" t="s">
        <v>16</v>
      </c>
      <c r="F98" s="5">
        <v>3</v>
      </c>
      <c r="G98">
        <v>2500</v>
      </c>
      <c r="H98" s="4">
        <v>0.05</v>
      </c>
      <c r="I98" s="6">
        <v>7125</v>
      </c>
      <c r="J98" s="6">
        <v>1725</v>
      </c>
      <c r="K98" t="s">
        <v>57</v>
      </c>
      <c r="L98" t="s">
        <v>58</v>
      </c>
      <c r="M98" t="s">
        <v>43</v>
      </c>
      <c r="N98" t="s">
        <v>26</v>
      </c>
    </row>
    <row r="99" spans="1:14" x14ac:dyDescent="0.3">
      <c r="A99">
        <v>1098</v>
      </c>
      <c r="B99" s="3">
        <v>46170</v>
      </c>
      <c r="C99" t="s">
        <v>118</v>
      </c>
      <c r="D99" t="s">
        <v>75</v>
      </c>
      <c r="E99" t="s">
        <v>40</v>
      </c>
      <c r="F99" s="5">
        <v>1</v>
      </c>
      <c r="G99">
        <v>180</v>
      </c>
      <c r="H99" s="4">
        <v>0.15</v>
      </c>
      <c r="I99" s="6">
        <v>153</v>
      </c>
      <c r="J99" s="6">
        <v>23.4</v>
      </c>
      <c r="K99" t="s">
        <v>67</v>
      </c>
      <c r="L99" t="s">
        <v>58</v>
      </c>
      <c r="M99" t="s">
        <v>43</v>
      </c>
      <c r="N99" t="s">
        <v>26</v>
      </c>
    </row>
    <row r="100" spans="1:14" x14ac:dyDescent="0.3">
      <c r="A100">
        <v>1099</v>
      </c>
      <c r="B100" s="3">
        <v>46275</v>
      </c>
      <c r="C100" t="s">
        <v>127</v>
      </c>
      <c r="D100" t="s">
        <v>75</v>
      </c>
      <c r="E100" t="s">
        <v>40</v>
      </c>
      <c r="F100" s="5">
        <v>1</v>
      </c>
      <c r="G100">
        <v>180</v>
      </c>
      <c r="H100" s="4">
        <v>0</v>
      </c>
      <c r="I100" s="6">
        <v>180</v>
      </c>
      <c r="J100" s="6">
        <v>50.4</v>
      </c>
      <c r="K100" t="s">
        <v>55</v>
      </c>
      <c r="L100" t="s">
        <v>24</v>
      </c>
      <c r="M100" t="s">
        <v>19</v>
      </c>
      <c r="N100" t="s">
        <v>59</v>
      </c>
    </row>
    <row r="101" spans="1:14" x14ac:dyDescent="0.3">
      <c r="A101">
        <v>1100</v>
      </c>
      <c r="B101" s="3">
        <v>46036</v>
      </c>
      <c r="C101" t="s">
        <v>128</v>
      </c>
      <c r="D101" t="s">
        <v>34</v>
      </c>
      <c r="E101" t="s">
        <v>16</v>
      </c>
      <c r="F101" s="5">
        <v>2</v>
      </c>
      <c r="G101">
        <v>22000</v>
      </c>
      <c r="H101" s="4">
        <v>0</v>
      </c>
      <c r="I101" s="6">
        <v>44000</v>
      </c>
      <c r="J101" s="6">
        <v>12320</v>
      </c>
      <c r="K101" t="s">
        <v>67</v>
      </c>
      <c r="L101" t="s">
        <v>58</v>
      </c>
      <c r="M101" t="s">
        <v>25</v>
      </c>
      <c r="N101" t="s">
        <v>37</v>
      </c>
    </row>
    <row r="102" spans="1:14" x14ac:dyDescent="0.3">
      <c r="A102">
        <v>1101</v>
      </c>
      <c r="B102" s="3">
        <v>46288</v>
      </c>
      <c r="C102" t="s">
        <v>129</v>
      </c>
      <c r="D102" t="s">
        <v>75</v>
      </c>
      <c r="E102" t="s">
        <v>40</v>
      </c>
      <c r="F102" s="5">
        <v>3</v>
      </c>
      <c r="G102">
        <v>180</v>
      </c>
      <c r="H102" s="4">
        <v>0.05</v>
      </c>
      <c r="I102" s="6">
        <v>513</v>
      </c>
      <c r="J102" s="6">
        <v>124.2</v>
      </c>
      <c r="K102" t="s">
        <v>35</v>
      </c>
      <c r="L102" t="s">
        <v>36</v>
      </c>
      <c r="M102" t="s">
        <v>25</v>
      </c>
      <c r="N102" t="s">
        <v>37</v>
      </c>
    </row>
    <row r="103" spans="1:14" x14ac:dyDescent="0.3">
      <c r="A103">
        <v>1102</v>
      </c>
      <c r="B103" s="3">
        <v>46201</v>
      </c>
      <c r="C103" t="s">
        <v>130</v>
      </c>
      <c r="D103" t="s">
        <v>39</v>
      </c>
      <c r="E103" t="s">
        <v>40</v>
      </c>
      <c r="F103" s="5">
        <v>3</v>
      </c>
      <c r="G103">
        <v>120</v>
      </c>
      <c r="H103" s="4">
        <v>0.1</v>
      </c>
      <c r="I103" s="6">
        <v>324</v>
      </c>
      <c r="J103" s="6">
        <v>64.8</v>
      </c>
      <c r="K103" t="s">
        <v>57</v>
      </c>
      <c r="L103" t="s">
        <v>58</v>
      </c>
      <c r="M103" t="s">
        <v>43</v>
      </c>
      <c r="N103" t="s">
        <v>37</v>
      </c>
    </row>
    <row r="104" spans="1:14" x14ac:dyDescent="0.3">
      <c r="A104">
        <v>1103</v>
      </c>
      <c r="B104" s="3">
        <v>46170</v>
      </c>
      <c r="C104" t="s">
        <v>131</v>
      </c>
      <c r="D104" t="s">
        <v>39</v>
      </c>
      <c r="E104" t="s">
        <v>40</v>
      </c>
      <c r="F104" s="5">
        <v>5</v>
      </c>
      <c r="G104">
        <v>120</v>
      </c>
      <c r="H104" s="4">
        <v>0</v>
      </c>
      <c r="I104" s="6">
        <v>600</v>
      </c>
      <c r="J104" s="6">
        <v>168</v>
      </c>
      <c r="K104" t="s">
        <v>61</v>
      </c>
      <c r="L104" t="s">
        <v>24</v>
      </c>
      <c r="M104" t="s">
        <v>43</v>
      </c>
      <c r="N104" t="s">
        <v>59</v>
      </c>
    </row>
    <row r="105" spans="1:14" x14ac:dyDescent="0.3">
      <c r="A105">
        <v>1104</v>
      </c>
      <c r="B105" s="3">
        <v>46082</v>
      </c>
      <c r="C105" t="s">
        <v>46</v>
      </c>
      <c r="D105" t="s">
        <v>39</v>
      </c>
      <c r="E105" t="s">
        <v>40</v>
      </c>
      <c r="F105" s="5">
        <v>5</v>
      </c>
      <c r="G105">
        <v>120</v>
      </c>
      <c r="H105" s="4">
        <v>0</v>
      </c>
      <c r="I105" s="6">
        <v>600</v>
      </c>
      <c r="J105" s="6">
        <v>168</v>
      </c>
      <c r="K105" t="s">
        <v>52</v>
      </c>
      <c r="L105" t="s">
        <v>24</v>
      </c>
      <c r="M105" t="s">
        <v>25</v>
      </c>
      <c r="N105" t="s">
        <v>29</v>
      </c>
    </row>
    <row r="106" spans="1:14" x14ac:dyDescent="0.3">
      <c r="A106">
        <v>1105</v>
      </c>
      <c r="B106" s="3">
        <v>46288</v>
      </c>
      <c r="C106" t="s">
        <v>132</v>
      </c>
      <c r="D106" t="s">
        <v>31</v>
      </c>
      <c r="E106" t="s">
        <v>32</v>
      </c>
      <c r="F106" s="5">
        <v>5</v>
      </c>
      <c r="G106">
        <v>12000</v>
      </c>
      <c r="H106" s="4">
        <v>0.15</v>
      </c>
      <c r="I106" s="6">
        <v>51000</v>
      </c>
      <c r="J106" s="6">
        <v>7800</v>
      </c>
      <c r="K106" t="s">
        <v>61</v>
      </c>
      <c r="L106" t="s">
        <v>24</v>
      </c>
      <c r="M106" t="s">
        <v>25</v>
      </c>
      <c r="N106" t="s">
        <v>59</v>
      </c>
    </row>
    <row r="107" spans="1:14" x14ac:dyDescent="0.3">
      <c r="A107">
        <v>1106</v>
      </c>
      <c r="B107" s="3">
        <v>46090</v>
      </c>
      <c r="C107" t="s">
        <v>133</v>
      </c>
      <c r="D107" t="s">
        <v>51</v>
      </c>
      <c r="E107" t="s">
        <v>32</v>
      </c>
      <c r="F107" s="5">
        <v>4</v>
      </c>
      <c r="G107">
        <v>9000</v>
      </c>
      <c r="H107" s="4">
        <v>0.15</v>
      </c>
      <c r="I107" s="6">
        <v>30600</v>
      </c>
      <c r="J107" s="6">
        <v>4680</v>
      </c>
      <c r="K107" t="s">
        <v>57</v>
      </c>
      <c r="L107" t="s">
        <v>58</v>
      </c>
      <c r="M107" t="s">
        <v>19</v>
      </c>
      <c r="N107" t="s">
        <v>29</v>
      </c>
    </row>
    <row r="108" spans="1:14" x14ac:dyDescent="0.3">
      <c r="A108">
        <v>1107</v>
      </c>
      <c r="B108" s="3">
        <v>46182</v>
      </c>
      <c r="C108" t="s">
        <v>14</v>
      </c>
      <c r="D108" t="s">
        <v>28</v>
      </c>
      <c r="E108" t="s">
        <v>16</v>
      </c>
      <c r="F108" s="5">
        <v>1</v>
      </c>
      <c r="G108">
        <v>16000</v>
      </c>
      <c r="H108" s="4">
        <v>0.15</v>
      </c>
      <c r="I108" s="6">
        <v>13600</v>
      </c>
      <c r="J108" s="6">
        <v>2080</v>
      </c>
      <c r="K108" t="s">
        <v>57</v>
      </c>
      <c r="L108" t="s">
        <v>58</v>
      </c>
      <c r="M108" t="s">
        <v>43</v>
      </c>
      <c r="N108" t="s">
        <v>20</v>
      </c>
    </row>
    <row r="109" spans="1:14" x14ac:dyDescent="0.3">
      <c r="A109">
        <v>1108</v>
      </c>
      <c r="B109" s="3">
        <v>46101</v>
      </c>
      <c r="C109" t="s">
        <v>83</v>
      </c>
      <c r="D109" t="s">
        <v>75</v>
      </c>
      <c r="E109" t="s">
        <v>40</v>
      </c>
      <c r="F109" s="5">
        <v>6</v>
      </c>
      <c r="G109">
        <v>180</v>
      </c>
      <c r="H109" s="4">
        <v>0.1</v>
      </c>
      <c r="I109" s="6">
        <v>972</v>
      </c>
      <c r="J109" s="6">
        <v>194.4</v>
      </c>
      <c r="K109" t="s">
        <v>52</v>
      </c>
      <c r="L109" t="s">
        <v>24</v>
      </c>
      <c r="M109" t="s">
        <v>43</v>
      </c>
      <c r="N109" t="s">
        <v>37</v>
      </c>
    </row>
    <row r="110" spans="1:14" x14ac:dyDescent="0.3">
      <c r="A110">
        <v>1109</v>
      </c>
      <c r="B110" s="3">
        <v>46264</v>
      </c>
      <c r="C110" t="s">
        <v>134</v>
      </c>
      <c r="D110" t="s">
        <v>42</v>
      </c>
      <c r="E110" t="s">
        <v>16</v>
      </c>
      <c r="F110" s="5">
        <v>4</v>
      </c>
      <c r="G110">
        <v>14000</v>
      </c>
      <c r="H110" s="4">
        <v>0.05</v>
      </c>
      <c r="I110" s="6">
        <v>53200</v>
      </c>
      <c r="J110" s="6">
        <v>12880</v>
      </c>
      <c r="K110" t="s">
        <v>55</v>
      </c>
      <c r="L110" t="s">
        <v>24</v>
      </c>
      <c r="M110" t="s">
        <v>25</v>
      </c>
      <c r="N110" t="s">
        <v>59</v>
      </c>
    </row>
    <row r="111" spans="1:14" x14ac:dyDescent="0.3">
      <c r="A111">
        <v>1110</v>
      </c>
      <c r="B111" s="3">
        <v>46235</v>
      </c>
      <c r="C111" t="s">
        <v>120</v>
      </c>
      <c r="D111" t="s">
        <v>31</v>
      </c>
      <c r="E111" t="s">
        <v>32</v>
      </c>
      <c r="F111" s="5">
        <v>5</v>
      </c>
      <c r="G111">
        <v>12000</v>
      </c>
      <c r="H111" s="4">
        <v>0.1</v>
      </c>
      <c r="I111" s="6">
        <v>54000</v>
      </c>
      <c r="J111" s="6">
        <v>10800</v>
      </c>
      <c r="K111" t="s">
        <v>23</v>
      </c>
      <c r="L111" t="s">
        <v>24</v>
      </c>
      <c r="M111" t="s">
        <v>19</v>
      </c>
      <c r="N111" t="s">
        <v>26</v>
      </c>
    </row>
    <row r="112" spans="1:14" x14ac:dyDescent="0.3">
      <c r="A112">
        <v>1111</v>
      </c>
      <c r="B112" s="3">
        <v>46273</v>
      </c>
      <c r="C112" t="s">
        <v>135</v>
      </c>
      <c r="D112" t="s">
        <v>45</v>
      </c>
      <c r="E112" t="s">
        <v>16</v>
      </c>
      <c r="F112" s="5">
        <v>4</v>
      </c>
      <c r="G112">
        <v>2500</v>
      </c>
      <c r="H112" s="4">
        <v>0.15</v>
      </c>
      <c r="I112" s="6">
        <v>8500</v>
      </c>
      <c r="J112" s="6">
        <v>1300</v>
      </c>
      <c r="K112" t="s">
        <v>78</v>
      </c>
      <c r="L112" t="s">
        <v>36</v>
      </c>
      <c r="M112" t="s">
        <v>43</v>
      </c>
      <c r="N112" t="s">
        <v>59</v>
      </c>
    </row>
    <row r="113" spans="1:14" x14ac:dyDescent="0.3">
      <c r="A113">
        <v>1112</v>
      </c>
      <c r="B113" s="3">
        <v>46119</v>
      </c>
      <c r="C113" t="s">
        <v>136</v>
      </c>
      <c r="D113" t="s">
        <v>42</v>
      </c>
      <c r="E113" t="s">
        <v>16</v>
      </c>
      <c r="F113" s="5">
        <v>5</v>
      </c>
      <c r="G113">
        <v>14000</v>
      </c>
      <c r="H113" s="4">
        <v>0.15</v>
      </c>
      <c r="I113" s="6">
        <v>59500</v>
      </c>
      <c r="J113" s="6">
        <v>9100</v>
      </c>
      <c r="K113" t="s">
        <v>17</v>
      </c>
      <c r="L113" t="s">
        <v>18</v>
      </c>
      <c r="M113" t="s">
        <v>25</v>
      </c>
      <c r="N113" t="s">
        <v>59</v>
      </c>
    </row>
    <row r="114" spans="1:14" x14ac:dyDescent="0.3">
      <c r="A114">
        <v>1113</v>
      </c>
      <c r="B114" s="3">
        <v>46265</v>
      </c>
      <c r="C114" t="s">
        <v>84</v>
      </c>
      <c r="D114" t="s">
        <v>39</v>
      </c>
      <c r="E114" t="s">
        <v>40</v>
      </c>
      <c r="F114" s="5">
        <v>4</v>
      </c>
      <c r="G114">
        <v>120</v>
      </c>
      <c r="H114" s="4">
        <v>0.05</v>
      </c>
      <c r="I114" s="6">
        <v>456</v>
      </c>
      <c r="J114" s="6">
        <v>110.4</v>
      </c>
      <c r="K114" t="s">
        <v>61</v>
      </c>
      <c r="L114" t="s">
        <v>24</v>
      </c>
      <c r="M114" t="s">
        <v>19</v>
      </c>
      <c r="N114" t="s">
        <v>26</v>
      </c>
    </row>
    <row r="115" spans="1:14" x14ac:dyDescent="0.3">
      <c r="A115">
        <v>1114</v>
      </c>
      <c r="B115" s="3">
        <v>46192</v>
      </c>
      <c r="C115" t="s">
        <v>137</v>
      </c>
      <c r="D115" t="s">
        <v>34</v>
      </c>
      <c r="E115" t="s">
        <v>16</v>
      </c>
      <c r="F115" s="5">
        <v>4</v>
      </c>
      <c r="G115">
        <v>22000</v>
      </c>
      <c r="H115" s="4">
        <v>0</v>
      </c>
      <c r="I115" s="6">
        <v>88000</v>
      </c>
      <c r="J115" s="6">
        <v>24640</v>
      </c>
      <c r="K115" t="s">
        <v>52</v>
      </c>
      <c r="L115" t="s">
        <v>24</v>
      </c>
      <c r="M115" t="s">
        <v>19</v>
      </c>
      <c r="N115" t="s">
        <v>29</v>
      </c>
    </row>
    <row r="116" spans="1:14" x14ac:dyDescent="0.3">
      <c r="A116">
        <v>1115</v>
      </c>
      <c r="B116" s="3">
        <v>46232</v>
      </c>
      <c r="C116" t="s">
        <v>68</v>
      </c>
      <c r="D116" t="s">
        <v>45</v>
      </c>
      <c r="E116" t="s">
        <v>16</v>
      </c>
      <c r="F116" s="5">
        <v>1</v>
      </c>
      <c r="G116">
        <v>2500</v>
      </c>
      <c r="H116" s="4">
        <v>0.15</v>
      </c>
      <c r="I116" s="6">
        <v>2125</v>
      </c>
      <c r="J116" s="6">
        <v>325</v>
      </c>
      <c r="K116" t="s">
        <v>67</v>
      </c>
      <c r="L116" t="s">
        <v>58</v>
      </c>
      <c r="M116" t="s">
        <v>19</v>
      </c>
      <c r="N116" t="s">
        <v>20</v>
      </c>
    </row>
    <row r="117" spans="1:14" x14ac:dyDescent="0.3">
      <c r="A117">
        <v>1116</v>
      </c>
      <c r="B117" s="3">
        <v>46191</v>
      </c>
      <c r="C117" t="s">
        <v>138</v>
      </c>
      <c r="D117" t="s">
        <v>28</v>
      </c>
      <c r="E117" t="s">
        <v>16</v>
      </c>
      <c r="F117" s="5">
        <v>4</v>
      </c>
      <c r="G117">
        <v>16000</v>
      </c>
      <c r="H117" s="4">
        <v>0.1</v>
      </c>
      <c r="I117" s="6">
        <v>57600</v>
      </c>
      <c r="J117" s="6">
        <v>11520</v>
      </c>
      <c r="K117" t="s">
        <v>61</v>
      </c>
      <c r="L117" t="s">
        <v>24</v>
      </c>
      <c r="M117" t="s">
        <v>19</v>
      </c>
      <c r="N117" t="s">
        <v>20</v>
      </c>
    </row>
    <row r="118" spans="1:14" x14ac:dyDescent="0.3">
      <c r="A118">
        <v>1117</v>
      </c>
      <c r="B118" s="3">
        <v>46143</v>
      </c>
      <c r="C118" t="s">
        <v>41</v>
      </c>
      <c r="D118" t="s">
        <v>51</v>
      </c>
      <c r="E118" t="s">
        <v>32</v>
      </c>
      <c r="F118" s="5">
        <v>2</v>
      </c>
      <c r="G118">
        <v>9000</v>
      </c>
      <c r="H118" s="4">
        <v>0</v>
      </c>
      <c r="I118" s="6">
        <v>18000</v>
      </c>
      <c r="J118" s="6">
        <v>5040</v>
      </c>
      <c r="K118" t="s">
        <v>55</v>
      </c>
      <c r="L118" t="s">
        <v>24</v>
      </c>
      <c r="M118" t="s">
        <v>43</v>
      </c>
      <c r="N118" t="s">
        <v>29</v>
      </c>
    </row>
    <row r="119" spans="1:14" x14ac:dyDescent="0.3">
      <c r="A119">
        <v>1118</v>
      </c>
      <c r="B119" s="3">
        <v>46176</v>
      </c>
      <c r="C119" t="s">
        <v>139</v>
      </c>
      <c r="D119" t="s">
        <v>15</v>
      </c>
      <c r="E119" t="s">
        <v>16</v>
      </c>
      <c r="F119" s="5">
        <v>1</v>
      </c>
      <c r="G119">
        <v>55000</v>
      </c>
      <c r="H119" s="4">
        <v>0.1</v>
      </c>
      <c r="I119" s="6">
        <v>49500</v>
      </c>
      <c r="J119" s="6">
        <v>9900</v>
      </c>
      <c r="K119" t="s">
        <v>23</v>
      </c>
      <c r="L119" t="s">
        <v>24</v>
      </c>
      <c r="M119" t="s">
        <v>43</v>
      </c>
      <c r="N119" t="s">
        <v>37</v>
      </c>
    </row>
    <row r="120" spans="1:14" x14ac:dyDescent="0.3">
      <c r="A120">
        <v>1119</v>
      </c>
      <c r="B120" s="3">
        <v>46097</v>
      </c>
      <c r="C120" t="s">
        <v>56</v>
      </c>
      <c r="D120" t="s">
        <v>42</v>
      </c>
      <c r="E120" t="s">
        <v>16</v>
      </c>
      <c r="F120" s="5">
        <v>5</v>
      </c>
      <c r="G120">
        <v>14000</v>
      </c>
      <c r="H120" s="4">
        <v>0.15</v>
      </c>
      <c r="I120" s="6">
        <v>59500</v>
      </c>
      <c r="J120" s="6">
        <v>9100</v>
      </c>
      <c r="K120" t="s">
        <v>35</v>
      </c>
      <c r="L120" t="s">
        <v>36</v>
      </c>
      <c r="M120" t="s">
        <v>25</v>
      </c>
      <c r="N120" t="s">
        <v>29</v>
      </c>
    </row>
    <row r="121" spans="1:14" x14ac:dyDescent="0.3">
      <c r="A121">
        <v>1120</v>
      </c>
      <c r="B121" s="3">
        <v>46063</v>
      </c>
      <c r="C121" t="s">
        <v>140</v>
      </c>
      <c r="D121" t="s">
        <v>22</v>
      </c>
      <c r="E121" t="s">
        <v>16</v>
      </c>
      <c r="F121" s="5">
        <v>4</v>
      </c>
      <c r="G121">
        <v>1800</v>
      </c>
      <c r="H121" s="4">
        <v>0.05</v>
      </c>
      <c r="I121" s="6">
        <v>6840</v>
      </c>
      <c r="J121" s="6">
        <v>1656</v>
      </c>
      <c r="K121" t="s">
        <v>61</v>
      </c>
      <c r="L121" t="s">
        <v>24</v>
      </c>
      <c r="M121" t="s">
        <v>25</v>
      </c>
      <c r="N121" t="s">
        <v>37</v>
      </c>
    </row>
    <row r="122" spans="1:14" x14ac:dyDescent="0.3">
      <c r="A122">
        <v>1121</v>
      </c>
      <c r="B122" s="3">
        <v>46153</v>
      </c>
      <c r="C122" t="s">
        <v>141</v>
      </c>
      <c r="D122" t="s">
        <v>75</v>
      </c>
      <c r="E122" t="s">
        <v>40</v>
      </c>
      <c r="F122" s="5">
        <v>3</v>
      </c>
      <c r="G122">
        <v>180</v>
      </c>
      <c r="H122" s="4">
        <v>0</v>
      </c>
      <c r="I122" s="6">
        <v>540</v>
      </c>
      <c r="J122" s="6">
        <v>151.19999999999999</v>
      </c>
      <c r="K122" t="s">
        <v>61</v>
      </c>
      <c r="L122" t="s">
        <v>24</v>
      </c>
      <c r="M122" t="s">
        <v>25</v>
      </c>
      <c r="N122" t="s">
        <v>37</v>
      </c>
    </row>
    <row r="123" spans="1:14" x14ac:dyDescent="0.3">
      <c r="A123">
        <v>1122</v>
      </c>
      <c r="B123" s="3">
        <v>46199</v>
      </c>
      <c r="C123" t="s">
        <v>137</v>
      </c>
      <c r="D123" t="s">
        <v>22</v>
      </c>
      <c r="E123" t="s">
        <v>16</v>
      </c>
      <c r="F123" s="5">
        <v>3</v>
      </c>
      <c r="G123">
        <v>1800</v>
      </c>
      <c r="H123" s="4">
        <v>0.15</v>
      </c>
      <c r="I123" s="6">
        <v>4590</v>
      </c>
      <c r="J123" s="6">
        <v>702</v>
      </c>
      <c r="K123" t="s">
        <v>67</v>
      </c>
      <c r="L123" t="s">
        <v>58</v>
      </c>
      <c r="M123" t="s">
        <v>25</v>
      </c>
      <c r="N123" t="s">
        <v>37</v>
      </c>
    </row>
    <row r="124" spans="1:14" x14ac:dyDescent="0.3">
      <c r="A124">
        <v>1123</v>
      </c>
      <c r="B124" s="3">
        <v>46270</v>
      </c>
      <c r="C124" t="s">
        <v>142</v>
      </c>
      <c r="D124" t="s">
        <v>34</v>
      </c>
      <c r="E124" t="s">
        <v>16</v>
      </c>
      <c r="F124" s="5">
        <v>2</v>
      </c>
      <c r="G124">
        <v>22000</v>
      </c>
      <c r="H124" s="4">
        <v>0.15</v>
      </c>
      <c r="I124" s="6">
        <v>37400</v>
      </c>
      <c r="J124" s="6">
        <v>5720</v>
      </c>
      <c r="K124" t="s">
        <v>35</v>
      </c>
      <c r="L124" t="s">
        <v>36</v>
      </c>
      <c r="M124" t="s">
        <v>19</v>
      </c>
      <c r="N124" t="s">
        <v>59</v>
      </c>
    </row>
    <row r="125" spans="1:14" x14ac:dyDescent="0.3">
      <c r="A125">
        <v>1124</v>
      </c>
      <c r="B125" s="3">
        <v>46034</v>
      </c>
      <c r="C125" t="s">
        <v>143</v>
      </c>
      <c r="D125" t="s">
        <v>39</v>
      </c>
      <c r="E125" t="s">
        <v>40</v>
      </c>
      <c r="F125" s="5">
        <v>3</v>
      </c>
      <c r="G125">
        <v>120</v>
      </c>
      <c r="H125" s="4">
        <v>0</v>
      </c>
      <c r="I125" s="6">
        <v>360</v>
      </c>
      <c r="J125" s="6">
        <v>100.8</v>
      </c>
      <c r="K125" t="s">
        <v>35</v>
      </c>
      <c r="L125" t="s">
        <v>36</v>
      </c>
      <c r="M125" t="s">
        <v>19</v>
      </c>
      <c r="N125" t="s">
        <v>37</v>
      </c>
    </row>
    <row r="126" spans="1:14" x14ac:dyDescent="0.3">
      <c r="A126">
        <v>1125</v>
      </c>
      <c r="B126" s="3">
        <v>46169</v>
      </c>
      <c r="C126" t="s">
        <v>144</v>
      </c>
      <c r="D126" t="s">
        <v>42</v>
      </c>
      <c r="E126" t="s">
        <v>16</v>
      </c>
      <c r="F126" s="5">
        <v>5</v>
      </c>
      <c r="G126">
        <v>14000</v>
      </c>
      <c r="H126" s="4">
        <v>0.1</v>
      </c>
      <c r="I126" s="6">
        <v>63000</v>
      </c>
      <c r="J126" s="6">
        <v>12600</v>
      </c>
      <c r="K126" t="s">
        <v>17</v>
      </c>
      <c r="L126" t="s">
        <v>18</v>
      </c>
      <c r="M126" t="s">
        <v>19</v>
      </c>
      <c r="N126" t="s">
        <v>59</v>
      </c>
    </row>
    <row r="127" spans="1:14" x14ac:dyDescent="0.3">
      <c r="A127">
        <v>1126</v>
      </c>
      <c r="B127" s="3">
        <v>46093</v>
      </c>
      <c r="C127" t="s">
        <v>145</v>
      </c>
      <c r="D127" t="s">
        <v>34</v>
      </c>
      <c r="E127" t="s">
        <v>16</v>
      </c>
      <c r="F127" s="5">
        <v>6</v>
      </c>
      <c r="G127">
        <v>22000</v>
      </c>
      <c r="H127" s="4">
        <v>0</v>
      </c>
      <c r="I127" s="6">
        <v>132000</v>
      </c>
      <c r="J127" s="6">
        <v>36960</v>
      </c>
      <c r="K127" t="s">
        <v>67</v>
      </c>
      <c r="L127" t="s">
        <v>58</v>
      </c>
      <c r="M127" t="s">
        <v>19</v>
      </c>
      <c r="N127" t="s">
        <v>59</v>
      </c>
    </row>
    <row r="128" spans="1:14" x14ac:dyDescent="0.3">
      <c r="A128">
        <v>1127</v>
      </c>
      <c r="B128" s="3">
        <v>46090</v>
      </c>
      <c r="C128" t="s">
        <v>146</v>
      </c>
      <c r="D128" t="s">
        <v>34</v>
      </c>
      <c r="E128" t="s">
        <v>16</v>
      </c>
      <c r="F128" s="5">
        <v>3</v>
      </c>
      <c r="G128">
        <v>22000</v>
      </c>
      <c r="H128" s="4">
        <v>0.1</v>
      </c>
      <c r="I128" s="6">
        <v>59400</v>
      </c>
      <c r="J128" s="6">
        <v>11880</v>
      </c>
      <c r="K128" t="s">
        <v>55</v>
      </c>
      <c r="L128" t="s">
        <v>24</v>
      </c>
      <c r="M128" t="s">
        <v>25</v>
      </c>
      <c r="N128" t="s">
        <v>26</v>
      </c>
    </row>
    <row r="129" spans="1:14" x14ac:dyDescent="0.3">
      <c r="A129">
        <v>1128</v>
      </c>
      <c r="B129" s="3">
        <v>46210</v>
      </c>
      <c r="C129" t="s">
        <v>147</v>
      </c>
      <c r="D129" t="s">
        <v>28</v>
      </c>
      <c r="E129" t="s">
        <v>16</v>
      </c>
      <c r="F129" s="5">
        <v>5</v>
      </c>
      <c r="G129">
        <v>16000</v>
      </c>
      <c r="H129" s="4">
        <v>0.1</v>
      </c>
      <c r="I129" s="6">
        <v>72000</v>
      </c>
      <c r="J129" s="6">
        <v>14400</v>
      </c>
      <c r="K129" t="s">
        <v>47</v>
      </c>
      <c r="L129" t="s">
        <v>18</v>
      </c>
      <c r="M129" t="s">
        <v>43</v>
      </c>
      <c r="N129" t="s">
        <v>59</v>
      </c>
    </row>
    <row r="130" spans="1:14" x14ac:dyDescent="0.3">
      <c r="A130">
        <v>1129</v>
      </c>
      <c r="B130" s="3">
        <v>46081</v>
      </c>
      <c r="C130" t="s">
        <v>109</v>
      </c>
      <c r="D130" t="s">
        <v>75</v>
      </c>
      <c r="E130" t="s">
        <v>40</v>
      </c>
      <c r="F130" s="5">
        <v>1</v>
      </c>
      <c r="G130">
        <v>180</v>
      </c>
      <c r="H130" s="4">
        <v>0.05</v>
      </c>
      <c r="I130" s="6">
        <v>171</v>
      </c>
      <c r="J130" s="6">
        <v>41.4</v>
      </c>
      <c r="K130" t="s">
        <v>17</v>
      </c>
      <c r="L130" t="s">
        <v>18</v>
      </c>
      <c r="M130" t="s">
        <v>19</v>
      </c>
      <c r="N130" t="s">
        <v>59</v>
      </c>
    </row>
    <row r="131" spans="1:14" x14ac:dyDescent="0.3">
      <c r="A131">
        <v>1130</v>
      </c>
      <c r="B131" s="3">
        <v>46069</v>
      </c>
      <c r="C131" t="s">
        <v>148</v>
      </c>
      <c r="D131" t="s">
        <v>39</v>
      </c>
      <c r="E131" t="s">
        <v>40</v>
      </c>
      <c r="F131" s="5">
        <v>1</v>
      </c>
      <c r="G131">
        <v>120</v>
      </c>
      <c r="H131" s="4">
        <v>0.1</v>
      </c>
      <c r="I131" s="6">
        <v>108</v>
      </c>
      <c r="J131" s="6">
        <v>21.6</v>
      </c>
      <c r="K131" t="s">
        <v>52</v>
      </c>
      <c r="L131" t="s">
        <v>24</v>
      </c>
      <c r="M131" t="s">
        <v>43</v>
      </c>
      <c r="N131" t="s">
        <v>59</v>
      </c>
    </row>
    <row r="132" spans="1:14" x14ac:dyDescent="0.3">
      <c r="A132">
        <v>1131</v>
      </c>
      <c r="B132" s="3">
        <v>46218</v>
      </c>
      <c r="C132" t="s">
        <v>149</v>
      </c>
      <c r="D132" t="s">
        <v>31</v>
      </c>
      <c r="E132" t="s">
        <v>32</v>
      </c>
      <c r="F132" s="5">
        <v>1</v>
      </c>
      <c r="G132">
        <v>12000</v>
      </c>
      <c r="H132" s="4">
        <v>0.05</v>
      </c>
      <c r="I132" s="6">
        <v>11400</v>
      </c>
      <c r="J132" s="6">
        <v>2760</v>
      </c>
      <c r="K132" t="s">
        <v>61</v>
      </c>
      <c r="L132" t="s">
        <v>24</v>
      </c>
      <c r="M132" t="s">
        <v>19</v>
      </c>
      <c r="N132" t="s">
        <v>29</v>
      </c>
    </row>
    <row r="133" spans="1:14" x14ac:dyDescent="0.3">
      <c r="A133">
        <v>1132</v>
      </c>
      <c r="B133" s="3">
        <v>46055</v>
      </c>
      <c r="C133" t="s">
        <v>90</v>
      </c>
      <c r="D133" t="s">
        <v>75</v>
      </c>
      <c r="E133" t="s">
        <v>40</v>
      </c>
      <c r="F133" s="5">
        <v>6</v>
      </c>
      <c r="G133">
        <v>180</v>
      </c>
      <c r="H133" s="4">
        <v>0.1</v>
      </c>
      <c r="I133" s="6">
        <v>972</v>
      </c>
      <c r="J133" s="6">
        <v>194.4</v>
      </c>
      <c r="K133" t="s">
        <v>55</v>
      </c>
      <c r="L133" t="s">
        <v>24</v>
      </c>
      <c r="M133" t="s">
        <v>25</v>
      </c>
      <c r="N133" t="s">
        <v>20</v>
      </c>
    </row>
    <row r="134" spans="1:14" x14ac:dyDescent="0.3">
      <c r="A134">
        <v>1133</v>
      </c>
      <c r="B134" s="3">
        <v>46178</v>
      </c>
      <c r="C134" t="s">
        <v>50</v>
      </c>
      <c r="D134" t="s">
        <v>75</v>
      </c>
      <c r="E134" t="s">
        <v>40</v>
      </c>
      <c r="F134" s="5">
        <v>1</v>
      </c>
      <c r="G134">
        <v>180</v>
      </c>
      <c r="H134" s="4">
        <v>0</v>
      </c>
      <c r="I134" s="6">
        <v>180</v>
      </c>
      <c r="J134" s="6">
        <v>50.4</v>
      </c>
      <c r="K134" t="s">
        <v>17</v>
      </c>
      <c r="L134" t="s">
        <v>18</v>
      </c>
      <c r="M134" t="s">
        <v>43</v>
      </c>
      <c r="N134" t="s">
        <v>37</v>
      </c>
    </row>
    <row r="135" spans="1:14" x14ac:dyDescent="0.3">
      <c r="A135">
        <v>1134</v>
      </c>
      <c r="B135" s="3">
        <v>46212</v>
      </c>
      <c r="C135" t="s">
        <v>49</v>
      </c>
      <c r="D135" t="s">
        <v>28</v>
      </c>
      <c r="E135" t="s">
        <v>16</v>
      </c>
      <c r="F135" s="5">
        <v>4</v>
      </c>
      <c r="G135">
        <v>16000</v>
      </c>
      <c r="H135" s="4">
        <v>0.05</v>
      </c>
      <c r="I135" s="6">
        <v>60800</v>
      </c>
      <c r="J135" s="6">
        <v>14720</v>
      </c>
      <c r="K135" t="s">
        <v>55</v>
      </c>
      <c r="L135" t="s">
        <v>24</v>
      </c>
      <c r="M135" t="s">
        <v>43</v>
      </c>
      <c r="N135" t="s">
        <v>26</v>
      </c>
    </row>
    <row r="136" spans="1:14" x14ac:dyDescent="0.3">
      <c r="A136">
        <v>1135</v>
      </c>
      <c r="B136" s="3">
        <v>46231</v>
      </c>
      <c r="C136" t="s">
        <v>150</v>
      </c>
      <c r="D136" t="s">
        <v>51</v>
      </c>
      <c r="E136" t="s">
        <v>32</v>
      </c>
      <c r="F136" s="5">
        <v>1</v>
      </c>
      <c r="G136">
        <v>9000</v>
      </c>
      <c r="H136" s="4">
        <v>0.1</v>
      </c>
      <c r="I136" s="6">
        <v>8100</v>
      </c>
      <c r="J136" s="6">
        <v>1620</v>
      </c>
      <c r="K136" t="s">
        <v>17</v>
      </c>
      <c r="L136" t="s">
        <v>18</v>
      </c>
      <c r="M136" t="s">
        <v>25</v>
      </c>
      <c r="N136" t="s">
        <v>59</v>
      </c>
    </row>
    <row r="137" spans="1:14" x14ac:dyDescent="0.3">
      <c r="A137">
        <v>1136</v>
      </c>
      <c r="B137" s="3">
        <v>46073</v>
      </c>
      <c r="C137" t="s">
        <v>151</v>
      </c>
      <c r="D137" t="s">
        <v>31</v>
      </c>
      <c r="E137" t="s">
        <v>32</v>
      </c>
      <c r="F137" s="5">
        <v>5</v>
      </c>
      <c r="G137">
        <v>12000</v>
      </c>
      <c r="H137" s="4">
        <v>0.1</v>
      </c>
      <c r="I137" s="6">
        <v>54000</v>
      </c>
      <c r="J137" s="6">
        <v>10800</v>
      </c>
      <c r="K137" t="s">
        <v>23</v>
      </c>
      <c r="L137" t="s">
        <v>24</v>
      </c>
      <c r="M137" t="s">
        <v>25</v>
      </c>
      <c r="N137" t="s">
        <v>20</v>
      </c>
    </row>
    <row r="138" spans="1:14" x14ac:dyDescent="0.3">
      <c r="A138">
        <v>1137</v>
      </c>
      <c r="B138" s="3">
        <v>46255</v>
      </c>
      <c r="C138" t="s">
        <v>152</v>
      </c>
      <c r="D138" t="s">
        <v>34</v>
      </c>
      <c r="E138" t="s">
        <v>16</v>
      </c>
      <c r="F138" s="5">
        <v>6</v>
      </c>
      <c r="G138">
        <v>22000</v>
      </c>
      <c r="H138" s="4">
        <v>0.05</v>
      </c>
      <c r="I138" s="6">
        <v>125400</v>
      </c>
      <c r="J138" s="6">
        <v>30360</v>
      </c>
      <c r="K138" t="s">
        <v>35</v>
      </c>
      <c r="L138" t="s">
        <v>36</v>
      </c>
      <c r="M138" t="s">
        <v>43</v>
      </c>
      <c r="N138" t="s">
        <v>29</v>
      </c>
    </row>
    <row r="139" spans="1:14" x14ac:dyDescent="0.3">
      <c r="A139">
        <v>1138</v>
      </c>
      <c r="B139" s="3">
        <v>46087</v>
      </c>
      <c r="C139" t="s">
        <v>153</v>
      </c>
      <c r="D139" t="s">
        <v>22</v>
      </c>
      <c r="E139" t="s">
        <v>16</v>
      </c>
      <c r="F139" s="5">
        <v>2</v>
      </c>
      <c r="G139">
        <v>1800</v>
      </c>
      <c r="H139" s="4">
        <v>0</v>
      </c>
      <c r="I139" s="6">
        <v>3600</v>
      </c>
      <c r="J139" s="6">
        <v>1008</v>
      </c>
      <c r="K139" t="s">
        <v>52</v>
      </c>
      <c r="L139" t="s">
        <v>24</v>
      </c>
      <c r="M139" t="s">
        <v>25</v>
      </c>
      <c r="N139" t="s">
        <v>59</v>
      </c>
    </row>
    <row r="140" spans="1:14" x14ac:dyDescent="0.3">
      <c r="A140">
        <v>1139</v>
      </c>
      <c r="B140" s="3">
        <v>46098</v>
      </c>
      <c r="C140" t="s">
        <v>154</v>
      </c>
      <c r="D140" t="s">
        <v>22</v>
      </c>
      <c r="E140" t="s">
        <v>16</v>
      </c>
      <c r="F140" s="5">
        <v>1</v>
      </c>
      <c r="G140">
        <v>1800</v>
      </c>
      <c r="H140" s="4">
        <v>0.1</v>
      </c>
      <c r="I140" s="6">
        <v>1620</v>
      </c>
      <c r="J140" s="6">
        <v>324</v>
      </c>
      <c r="K140" t="s">
        <v>47</v>
      </c>
      <c r="L140" t="s">
        <v>18</v>
      </c>
      <c r="M140" t="s">
        <v>25</v>
      </c>
      <c r="N140" t="s">
        <v>20</v>
      </c>
    </row>
    <row r="141" spans="1:14" x14ac:dyDescent="0.3">
      <c r="A141">
        <v>1140</v>
      </c>
      <c r="B141" s="3">
        <v>46036</v>
      </c>
      <c r="C141" t="s">
        <v>155</v>
      </c>
      <c r="D141" t="s">
        <v>45</v>
      </c>
      <c r="E141" t="s">
        <v>16</v>
      </c>
      <c r="F141" s="5">
        <v>1</v>
      </c>
      <c r="G141">
        <v>2500</v>
      </c>
      <c r="H141" s="4">
        <v>0.1</v>
      </c>
      <c r="I141" s="6">
        <v>2250</v>
      </c>
      <c r="J141" s="6">
        <v>450</v>
      </c>
      <c r="K141" t="s">
        <v>17</v>
      </c>
      <c r="L141" t="s">
        <v>18</v>
      </c>
      <c r="M141" t="s">
        <v>25</v>
      </c>
      <c r="N141" t="s">
        <v>29</v>
      </c>
    </row>
    <row r="142" spans="1:14" x14ac:dyDescent="0.3">
      <c r="A142">
        <v>1141</v>
      </c>
      <c r="B142" s="3">
        <v>46158</v>
      </c>
      <c r="C142" t="s">
        <v>90</v>
      </c>
      <c r="D142" t="s">
        <v>15</v>
      </c>
      <c r="E142" t="s">
        <v>16</v>
      </c>
      <c r="F142" s="5">
        <v>2</v>
      </c>
      <c r="G142">
        <v>55000</v>
      </c>
      <c r="H142" s="4">
        <v>0.15</v>
      </c>
      <c r="I142" s="6">
        <v>93500</v>
      </c>
      <c r="J142" s="6">
        <v>14300</v>
      </c>
      <c r="K142" t="s">
        <v>52</v>
      </c>
      <c r="L142" t="s">
        <v>24</v>
      </c>
      <c r="M142" t="s">
        <v>43</v>
      </c>
      <c r="N142" t="s">
        <v>37</v>
      </c>
    </row>
    <row r="143" spans="1:14" x14ac:dyDescent="0.3">
      <c r="A143">
        <v>1142</v>
      </c>
      <c r="B143" s="3">
        <v>46208</v>
      </c>
      <c r="C143" t="s">
        <v>156</v>
      </c>
      <c r="D143" t="s">
        <v>28</v>
      </c>
      <c r="E143" t="s">
        <v>16</v>
      </c>
      <c r="F143" s="5">
        <v>5</v>
      </c>
      <c r="G143">
        <v>16000</v>
      </c>
      <c r="H143" s="4">
        <v>0</v>
      </c>
      <c r="I143" s="6">
        <v>80000</v>
      </c>
      <c r="J143" s="6">
        <v>22400</v>
      </c>
      <c r="K143" t="s">
        <v>61</v>
      </c>
      <c r="L143" t="s">
        <v>24</v>
      </c>
      <c r="M143" t="s">
        <v>19</v>
      </c>
      <c r="N143" t="s">
        <v>20</v>
      </c>
    </row>
    <row r="144" spans="1:14" x14ac:dyDescent="0.3">
      <c r="A144">
        <v>1143</v>
      </c>
      <c r="B144" s="3">
        <v>46289</v>
      </c>
      <c r="C144" t="s">
        <v>157</v>
      </c>
      <c r="D144" t="s">
        <v>51</v>
      </c>
      <c r="E144" t="s">
        <v>32</v>
      </c>
      <c r="F144" s="5">
        <v>4</v>
      </c>
      <c r="G144">
        <v>9000</v>
      </c>
      <c r="H144" s="4">
        <v>0</v>
      </c>
      <c r="I144" s="6">
        <v>36000</v>
      </c>
      <c r="J144" s="6">
        <v>10080</v>
      </c>
      <c r="K144" t="s">
        <v>23</v>
      </c>
      <c r="L144" t="s">
        <v>24</v>
      </c>
      <c r="M144" t="s">
        <v>43</v>
      </c>
      <c r="N144" t="s">
        <v>20</v>
      </c>
    </row>
    <row r="145" spans="1:14" x14ac:dyDescent="0.3">
      <c r="A145">
        <v>1144</v>
      </c>
      <c r="B145" s="3">
        <v>46274</v>
      </c>
      <c r="C145" t="s">
        <v>62</v>
      </c>
      <c r="D145" t="s">
        <v>75</v>
      </c>
      <c r="E145" t="s">
        <v>40</v>
      </c>
      <c r="F145" s="5">
        <v>1</v>
      </c>
      <c r="G145">
        <v>180</v>
      </c>
      <c r="H145" s="4">
        <v>0</v>
      </c>
      <c r="I145" s="6">
        <v>180</v>
      </c>
      <c r="J145" s="6">
        <v>50.4</v>
      </c>
      <c r="K145" t="s">
        <v>78</v>
      </c>
      <c r="L145" t="s">
        <v>36</v>
      </c>
      <c r="M145" t="s">
        <v>25</v>
      </c>
      <c r="N145" t="s">
        <v>29</v>
      </c>
    </row>
    <row r="146" spans="1:14" x14ac:dyDescent="0.3">
      <c r="A146">
        <v>1145</v>
      </c>
      <c r="B146" s="3">
        <v>46163</v>
      </c>
      <c r="C146" t="s">
        <v>54</v>
      </c>
      <c r="D146" t="s">
        <v>22</v>
      </c>
      <c r="E146" t="s">
        <v>16</v>
      </c>
      <c r="F146" s="5">
        <v>6</v>
      </c>
      <c r="G146">
        <v>1800</v>
      </c>
      <c r="H146" s="4">
        <v>0.1</v>
      </c>
      <c r="I146" s="6">
        <v>9720</v>
      </c>
      <c r="J146" s="6">
        <v>1944</v>
      </c>
      <c r="K146" t="s">
        <v>55</v>
      </c>
      <c r="L146" t="s">
        <v>24</v>
      </c>
      <c r="M146" t="s">
        <v>43</v>
      </c>
      <c r="N146" t="s">
        <v>26</v>
      </c>
    </row>
    <row r="147" spans="1:14" x14ac:dyDescent="0.3">
      <c r="A147">
        <v>1146</v>
      </c>
      <c r="B147" s="3">
        <v>46243</v>
      </c>
      <c r="C147" t="s">
        <v>158</v>
      </c>
      <c r="D147" t="s">
        <v>34</v>
      </c>
      <c r="E147" t="s">
        <v>16</v>
      </c>
      <c r="F147" s="5">
        <v>6</v>
      </c>
      <c r="G147">
        <v>22000</v>
      </c>
      <c r="I147" s="6">
        <v>132000</v>
      </c>
      <c r="J147" s="6">
        <v>36960</v>
      </c>
      <c r="K147" t="s">
        <v>52</v>
      </c>
      <c r="L147" t="s">
        <v>24</v>
      </c>
      <c r="M147" t="s">
        <v>43</v>
      </c>
      <c r="N147" t="s">
        <v>37</v>
      </c>
    </row>
    <row r="148" spans="1:14" x14ac:dyDescent="0.3">
      <c r="A148">
        <v>1147</v>
      </c>
      <c r="B148" s="3">
        <v>46139</v>
      </c>
      <c r="C148" t="s">
        <v>98</v>
      </c>
      <c r="D148" t="s">
        <v>39</v>
      </c>
      <c r="E148" t="s">
        <v>40</v>
      </c>
      <c r="F148" s="5">
        <v>3</v>
      </c>
      <c r="G148">
        <v>120</v>
      </c>
      <c r="H148" s="4">
        <v>0.15</v>
      </c>
      <c r="I148" s="6">
        <v>306</v>
      </c>
      <c r="J148" s="6">
        <v>46.8</v>
      </c>
      <c r="K148" t="s">
        <v>55</v>
      </c>
      <c r="L148" t="s">
        <v>24</v>
      </c>
      <c r="M148" t="s">
        <v>43</v>
      </c>
      <c r="N148" t="s">
        <v>37</v>
      </c>
    </row>
    <row r="149" spans="1:14" x14ac:dyDescent="0.3">
      <c r="A149">
        <v>1148</v>
      </c>
      <c r="B149" s="3">
        <v>46183</v>
      </c>
      <c r="C149" t="s">
        <v>159</v>
      </c>
      <c r="D149" t="s">
        <v>51</v>
      </c>
      <c r="E149" t="s">
        <v>32</v>
      </c>
      <c r="F149" s="5">
        <v>3</v>
      </c>
      <c r="G149">
        <v>9000</v>
      </c>
      <c r="H149" s="4">
        <v>0.05</v>
      </c>
      <c r="I149" s="6">
        <v>25650</v>
      </c>
      <c r="J149" s="6">
        <v>6210</v>
      </c>
      <c r="K149" t="s">
        <v>61</v>
      </c>
      <c r="L149" t="s">
        <v>24</v>
      </c>
      <c r="M149" t="s">
        <v>25</v>
      </c>
      <c r="N149" t="s">
        <v>20</v>
      </c>
    </row>
    <row r="150" spans="1:14" x14ac:dyDescent="0.3">
      <c r="A150">
        <v>1149</v>
      </c>
      <c r="B150" s="3">
        <v>46244</v>
      </c>
      <c r="C150" t="s">
        <v>160</v>
      </c>
      <c r="D150" t="s">
        <v>34</v>
      </c>
      <c r="E150" t="s">
        <v>16</v>
      </c>
      <c r="F150" s="5">
        <v>6</v>
      </c>
      <c r="G150">
        <v>22000</v>
      </c>
      <c r="H150" s="4">
        <v>0.1</v>
      </c>
      <c r="I150" s="6">
        <v>118800</v>
      </c>
      <c r="J150" s="6">
        <v>23760</v>
      </c>
      <c r="K150" t="s">
        <v>47</v>
      </c>
      <c r="L150" t="s">
        <v>18</v>
      </c>
      <c r="M150" t="s">
        <v>19</v>
      </c>
      <c r="N150" t="s">
        <v>26</v>
      </c>
    </row>
    <row r="151" spans="1:14" x14ac:dyDescent="0.3">
      <c r="A151">
        <v>1150</v>
      </c>
      <c r="B151" s="3">
        <v>46191</v>
      </c>
      <c r="C151" t="s">
        <v>158</v>
      </c>
      <c r="D151" t="s">
        <v>34</v>
      </c>
      <c r="E151" t="s">
        <v>16</v>
      </c>
      <c r="F151" s="5">
        <v>4</v>
      </c>
      <c r="G151">
        <v>22000</v>
      </c>
      <c r="H151" s="4">
        <v>0.1</v>
      </c>
      <c r="I151" s="6">
        <v>79200</v>
      </c>
      <c r="J151" s="6">
        <v>15840</v>
      </c>
      <c r="K151" t="s">
        <v>55</v>
      </c>
      <c r="L151" t="s">
        <v>24</v>
      </c>
      <c r="M151" t="s">
        <v>43</v>
      </c>
      <c r="N151" t="s">
        <v>26</v>
      </c>
    </row>
    <row r="152" spans="1:14" x14ac:dyDescent="0.3">
      <c r="A152">
        <v>1151</v>
      </c>
      <c r="B152" s="3">
        <v>46182</v>
      </c>
      <c r="C152" t="s">
        <v>96</v>
      </c>
      <c r="D152" t="s">
        <v>31</v>
      </c>
      <c r="E152" t="s">
        <v>32</v>
      </c>
      <c r="F152" s="5">
        <v>1</v>
      </c>
      <c r="G152">
        <v>12000</v>
      </c>
      <c r="H152" s="4">
        <v>0.05</v>
      </c>
      <c r="I152" s="6">
        <v>11400</v>
      </c>
      <c r="J152" s="6">
        <v>2760</v>
      </c>
      <c r="K152" t="s">
        <v>47</v>
      </c>
      <c r="L152" t="s">
        <v>18</v>
      </c>
      <c r="M152" t="s">
        <v>25</v>
      </c>
      <c r="N152" t="s">
        <v>20</v>
      </c>
    </row>
    <row r="153" spans="1:14" x14ac:dyDescent="0.3">
      <c r="A153">
        <v>1152</v>
      </c>
      <c r="B153" s="3">
        <v>46202</v>
      </c>
      <c r="C153" t="s">
        <v>161</v>
      </c>
      <c r="D153" t="s">
        <v>28</v>
      </c>
      <c r="E153" t="s">
        <v>16</v>
      </c>
      <c r="F153" s="5">
        <v>3</v>
      </c>
      <c r="G153">
        <v>16000</v>
      </c>
      <c r="H153" s="4">
        <v>0</v>
      </c>
      <c r="I153" s="6">
        <v>48000</v>
      </c>
      <c r="J153" s="6">
        <v>13440</v>
      </c>
      <c r="K153" t="s">
        <v>67</v>
      </c>
      <c r="L153" t="s">
        <v>58</v>
      </c>
      <c r="M153" t="s">
        <v>43</v>
      </c>
      <c r="N153" t="s">
        <v>26</v>
      </c>
    </row>
    <row r="154" spans="1:14" x14ac:dyDescent="0.3">
      <c r="A154">
        <v>1153</v>
      </c>
      <c r="B154" s="3">
        <v>46036</v>
      </c>
      <c r="C154" t="s">
        <v>114</v>
      </c>
      <c r="D154" t="s">
        <v>22</v>
      </c>
      <c r="E154" t="s">
        <v>16</v>
      </c>
      <c r="F154" s="5">
        <v>6</v>
      </c>
      <c r="G154">
        <v>1800</v>
      </c>
      <c r="H154" s="4">
        <v>0.1</v>
      </c>
      <c r="I154" s="6">
        <v>9720</v>
      </c>
      <c r="J154" s="6">
        <v>1944</v>
      </c>
      <c r="K154" t="s">
        <v>23</v>
      </c>
      <c r="L154" t="s">
        <v>24</v>
      </c>
      <c r="M154" t="s">
        <v>19</v>
      </c>
      <c r="N154" t="s">
        <v>59</v>
      </c>
    </row>
    <row r="155" spans="1:14" x14ac:dyDescent="0.3">
      <c r="A155">
        <v>1154</v>
      </c>
      <c r="B155" s="3">
        <v>46196</v>
      </c>
      <c r="C155" t="s">
        <v>162</v>
      </c>
      <c r="D155" t="s">
        <v>31</v>
      </c>
      <c r="E155" t="s">
        <v>32</v>
      </c>
      <c r="F155" s="5">
        <v>1</v>
      </c>
      <c r="G155">
        <v>12000</v>
      </c>
      <c r="H155" s="4">
        <v>0.05</v>
      </c>
      <c r="I155" s="6">
        <v>11400</v>
      </c>
      <c r="J155" s="6">
        <v>2760</v>
      </c>
      <c r="K155" t="s">
        <v>47</v>
      </c>
      <c r="L155" t="s">
        <v>18</v>
      </c>
      <c r="M155" t="s">
        <v>25</v>
      </c>
      <c r="N155" t="s">
        <v>29</v>
      </c>
    </row>
    <row r="156" spans="1:14" x14ac:dyDescent="0.3">
      <c r="A156">
        <v>1155</v>
      </c>
      <c r="B156" s="3">
        <v>46038</v>
      </c>
      <c r="C156" t="s">
        <v>163</v>
      </c>
      <c r="D156" t="s">
        <v>34</v>
      </c>
      <c r="E156" t="s">
        <v>16</v>
      </c>
      <c r="F156" s="5">
        <v>6</v>
      </c>
      <c r="G156">
        <v>22000</v>
      </c>
      <c r="H156" s="4">
        <v>0.05</v>
      </c>
      <c r="I156" s="6">
        <v>125400</v>
      </c>
      <c r="J156" s="6">
        <v>30360</v>
      </c>
      <c r="K156" t="s">
        <v>55</v>
      </c>
      <c r="L156" t="s">
        <v>24</v>
      </c>
      <c r="M156" t="s">
        <v>43</v>
      </c>
      <c r="N156" t="s">
        <v>29</v>
      </c>
    </row>
    <row r="157" spans="1:14" x14ac:dyDescent="0.3">
      <c r="A157">
        <v>1156</v>
      </c>
      <c r="B157" s="3">
        <v>46212</v>
      </c>
      <c r="C157" t="s">
        <v>54</v>
      </c>
      <c r="D157" t="s">
        <v>51</v>
      </c>
      <c r="E157" t="s">
        <v>32</v>
      </c>
      <c r="F157" s="5">
        <v>6</v>
      </c>
      <c r="G157">
        <v>9000</v>
      </c>
      <c r="H157" s="4">
        <v>0.1</v>
      </c>
      <c r="I157" s="6">
        <v>48600</v>
      </c>
      <c r="J157" s="6">
        <v>9720</v>
      </c>
      <c r="K157" t="s">
        <v>35</v>
      </c>
      <c r="L157" t="s">
        <v>36</v>
      </c>
      <c r="M157" t="s">
        <v>25</v>
      </c>
      <c r="N157" t="s">
        <v>29</v>
      </c>
    </row>
    <row r="158" spans="1:14" x14ac:dyDescent="0.3">
      <c r="A158">
        <v>1157</v>
      </c>
      <c r="B158" s="3">
        <v>46103</v>
      </c>
      <c r="C158" t="s">
        <v>150</v>
      </c>
      <c r="D158" t="s">
        <v>22</v>
      </c>
      <c r="E158" t="s">
        <v>16</v>
      </c>
      <c r="F158" s="5">
        <v>1</v>
      </c>
      <c r="G158">
        <v>1800</v>
      </c>
      <c r="H158" s="4">
        <v>0</v>
      </c>
      <c r="I158" s="6">
        <v>1800</v>
      </c>
      <c r="J158" s="6">
        <v>504</v>
      </c>
      <c r="K158" t="s">
        <v>67</v>
      </c>
      <c r="L158" t="s">
        <v>58</v>
      </c>
      <c r="M158" t="s">
        <v>43</v>
      </c>
      <c r="N158" t="s">
        <v>26</v>
      </c>
    </row>
    <row r="159" spans="1:14" x14ac:dyDescent="0.3">
      <c r="A159">
        <v>1158</v>
      </c>
      <c r="B159" s="3">
        <v>46249</v>
      </c>
      <c r="C159" t="s">
        <v>90</v>
      </c>
      <c r="D159" t="s">
        <v>39</v>
      </c>
      <c r="E159" t="s">
        <v>40</v>
      </c>
      <c r="F159" s="5">
        <v>3</v>
      </c>
      <c r="G159">
        <v>120</v>
      </c>
      <c r="H159" s="4">
        <v>0.05</v>
      </c>
      <c r="I159" s="6">
        <v>342</v>
      </c>
      <c r="J159" s="6">
        <v>82.8</v>
      </c>
      <c r="K159" t="s">
        <v>52</v>
      </c>
      <c r="L159" t="s">
        <v>24</v>
      </c>
      <c r="M159" t="s">
        <v>43</v>
      </c>
      <c r="N159" t="s">
        <v>20</v>
      </c>
    </row>
    <row r="160" spans="1:14" x14ac:dyDescent="0.3">
      <c r="A160">
        <v>1159</v>
      </c>
      <c r="B160" s="3">
        <v>46168</v>
      </c>
      <c r="C160" t="s">
        <v>104</v>
      </c>
      <c r="D160" t="s">
        <v>22</v>
      </c>
      <c r="E160" t="s">
        <v>16</v>
      </c>
      <c r="F160" s="5">
        <v>4</v>
      </c>
      <c r="G160">
        <v>1800</v>
      </c>
      <c r="H160" s="4">
        <v>0.1</v>
      </c>
      <c r="I160" s="6">
        <v>6480</v>
      </c>
      <c r="J160" s="6">
        <v>1296</v>
      </c>
      <c r="K160" t="s">
        <v>23</v>
      </c>
      <c r="L160" t="s">
        <v>24</v>
      </c>
      <c r="M160" t="s">
        <v>19</v>
      </c>
      <c r="N160" t="s">
        <v>20</v>
      </c>
    </row>
    <row r="161" spans="1:14" x14ac:dyDescent="0.3">
      <c r="A161">
        <v>1160</v>
      </c>
      <c r="B161" s="3">
        <v>46026</v>
      </c>
      <c r="C161" t="s">
        <v>30</v>
      </c>
      <c r="D161" t="s">
        <v>42</v>
      </c>
      <c r="E161" t="s">
        <v>16</v>
      </c>
      <c r="F161" s="5">
        <v>3</v>
      </c>
      <c r="G161">
        <v>14000</v>
      </c>
      <c r="H161" s="4">
        <v>0.05</v>
      </c>
      <c r="I161" s="6">
        <v>39900</v>
      </c>
      <c r="J161" s="6">
        <v>9660</v>
      </c>
      <c r="K161" t="s">
        <v>47</v>
      </c>
      <c r="L161" t="s">
        <v>18</v>
      </c>
      <c r="M161" t="s">
        <v>43</v>
      </c>
      <c r="N161" t="s">
        <v>59</v>
      </c>
    </row>
    <row r="162" spans="1:14" x14ac:dyDescent="0.3">
      <c r="A162">
        <v>1161</v>
      </c>
      <c r="B162" s="3">
        <v>46084</v>
      </c>
      <c r="C162" t="s">
        <v>154</v>
      </c>
      <c r="D162" t="s">
        <v>15</v>
      </c>
      <c r="E162" t="s">
        <v>16</v>
      </c>
      <c r="F162" s="5">
        <v>4</v>
      </c>
      <c r="G162">
        <v>55000</v>
      </c>
      <c r="H162" s="4">
        <v>0.15</v>
      </c>
      <c r="I162" s="6">
        <v>187000</v>
      </c>
      <c r="J162" s="6">
        <v>28600</v>
      </c>
      <c r="K162" t="s">
        <v>47</v>
      </c>
      <c r="L162" t="s">
        <v>18</v>
      </c>
      <c r="M162" t="s">
        <v>19</v>
      </c>
      <c r="N162" t="s">
        <v>29</v>
      </c>
    </row>
    <row r="163" spans="1:14" x14ac:dyDescent="0.3">
      <c r="A163">
        <v>1162</v>
      </c>
      <c r="B163" s="3">
        <v>46279</v>
      </c>
      <c r="C163" t="s">
        <v>151</v>
      </c>
      <c r="D163" t="s">
        <v>28</v>
      </c>
      <c r="E163" t="s">
        <v>16</v>
      </c>
      <c r="F163" s="5">
        <v>6</v>
      </c>
      <c r="G163">
        <v>16000</v>
      </c>
      <c r="H163" s="4">
        <v>0.1</v>
      </c>
      <c r="I163" s="6">
        <v>86400</v>
      </c>
      <c r="J163" s="6">
        <v>17280</v>
      </c>
      <c r="K163" t="s">
        <v>57</v>
      </c>
      <c r="L163" t="s">
        <v>58</v>
      </c>
      <c r="M163" t="s">
        <v>43</v>
      </c>
      <c r="N163" t="s">
        <v>20</v>
      </c>
    </row>
    <row r="164" spans="1:14" x14ac:dyDescent="0.3">
      <c r="A164">
        <v>1163</v>
      </c>
      <c r="B164" s="3">
        <v>46258</v>
      </c>
      <c r="C164" t="s">
        <v>93</v>
      </c>
      <c r="D164" t="s">
        <v>34</v>
      </c>
      <c r="E164" t="s">
        <v>16</v>
      </c>
      <c r="F164" s="5">
        <v>3</v>
      </c>
      <c r="G164">
        <v>22000</v>
      </c>
      <c r="H164" s="4">
        <v>0.15</v>
      </c>
      <c r="I164" s="6">
        <v>56100</v>
      </c>
      <c r="J164" s="6">
        <v>8580</v>
      </c>
      <c r="K164" t="s">
        <v>35</v>
      </c>
      <c r="L164" t="s">
        <v>36</v>
      </c>
      <c r="M164" t="s">
        <v>43</v>
      </c>
      <c r="N164" t="s">
        <v>20</v>
      </c>
    </row>
    <row r="165" spans="1:14" x14ac:dyDescent="0.3">
      <c r="A165">
        <v>1164</v>
      </c>
      <c r="B165" s="3">
        <v>46230</v>
      </c>
      <c r="C165" t="s">
        <v>164</v>
      </c>
      <c r="D165" t="s">
        <v>15</v>
      </c>
      <c r="E165" t="s">
        <v>16</v>
      </c>
      <c r="F165" s="5">
        <v>3</v>
      </c>
      <c r="G165">
        <v>55000</v>
      </c>
      <c r="H165" s="4">
        <v>0.05</v>
      </c>
      <c r="I165" s="6">
        <v>156750</v>
      </c>
      <c r="J165" s="6">
        <v>37950</v>
      </c>
      <c r="K165" t="s">
        <v>35</v>
      </c>
      <c r="L165" t="s">
        <v>36</v>
      </c>
      <c r="M165" t="s">
        <v>25</v>
      </c>
      <c r="N165" t="s">
        <v>37</v>
      </c>
    </row>
    <row r="166" spans="1:14" x14ac:dyDescent="0.3">
      <c r="A166">
        <v>1165</v>
      </c>
      <c r="B166" s="3">
        <v>46077</v>
      </c>
      <c r="C166" t="s">
        <v>79</v>
      </c>
      <c r="D166" t="s">
        <v>42</v>
      </c>
      <c r="E166" t="s">
        <v>16</v>
      </c>
      <c r="F166" s="5">
        <v>4</v>
      </c>
      <c r="G166">
        <v>14000</v>
      </c>
      <c r="H166" s="4">
        <v>0.15</v>
      </c>
      <c r="I166" s="6">
        <v>47600</v>
      </c>
      <c r="J166" s="6">
        <v>7280</v>
      </c>
      <c r="K166" t="s">
        <v>52</v>
      </c>
      <c r="L166" t="s">
        <v>24</v>
      </c>
      <c r="M166" t="s">
        <v>43</v>
      </c>
      <c r="N166" t="s">
        <v>59</v>
      </c>
    </row>
    <row r="167" spans="1:14" x14ac:dyDescent="0.3">
      <c r="A167">
        <v>1166</v>
      </c>
      <c r="B167" s="3">
        <v>46136</v>
      </c>
      <c r="C167" t="s">
        <v>144</v>
      </c>
      <c r="D167" t="s">
        <v>31</v>
      </c>
      <c r="E167" t="s">
        <v>32</v>
      </c>
      <c r="F167" s="5">
        <v>2</v>
      </c>
      <c r="G167">
        <v>12000</v>
      </c>
      <c r="H167" s="4">
        <v>0</v>
      </c>
      <c r="I167" s="6">
        <v>24000</v>
      </c>
      <c r="J167" s="6">
        <v>6720</v>
      </c>
      <c r="K167" t="s">
        <v>52</v>
      </c>
      <c r="L167" t="s">
        <v>24</v>
      </c>
      <c r="M167" t="s">
        <v>19</v>
      </c>
      <c r="N167" t="s">
        <v>26</v>
      </c>
    </row>
    <row r="168" spans="1:14" x14ac:dyDescent="0.3">
      <c r="A168">
        <v>1167</v>
      </c>
      <c r="B168" s="3">
        <v>46122</v>
      </c>
      <c r="C168" t="s">
        <v>165</v>
      </c>
      <c r="D168" t="s">
        <v>31</v>
      </c>
      <c r="E168" t="s">
        <v>32</v>
      </c>
      <c r="F168" s="5">
        <v>3</v>
      </c>
      <c r="G168">
        <v>12000</v>
      </c>
      <c r="H168" s="4">
        <v>0.05</v>
      </c>
      <c r="I168" s="6">
        <v>34200</v>
      </c>
      <c r="J168" s="6">
        <v>8280</v>
      </c>
      <c r="K168" t="s">
        <v>17</v>
      </c>
      <c r="L168" t="s">
        <v>18</v>
      </c>
      <c r="M168" t="s">
        <v>43</v>
      </c>
      <c r="N168" t="s">
        <v>29</v>
      </c>
    </row>
    <row r="169" spans="1:14" x14ac:dyDescent="0.3">
      <c r="A169">
        <v>1168</v>
      </c>
      <c r="B169" s="3">
        <v>46111</v>
      </c>
      <c r="C169" t="s">
        <v>166</v>
      </c>
      <c r="D169" t="s">
        <v>22</v>
      </c>
      <c r="E169" t="s">
        <v>16</v>
      </c>
      <c r="F169" s="5">
        <v>2</v>
      </c>
      <c r="G169">
        <v>1800</v>
      </c>
      <c r="H169" s="4">
        <v>0</v>
      </c>
      <c r="I169" s="6">
        <v>3600</v>
      </c>
      <c r="J169" s="6">
        <v>1008</v>
      </c>
      <c r="K169" t="s">
        <v>47</v>
      </c>
      <c r="L169" t="s">
        <v>18</v>
      </c>
      <c r="M169" t="s">
        <v>43</v>
      </c>
      <c r="N169" t="s">
        <v>26</v>
      </c>
    </row>
    <row r="170" spans="1:14" x14ac:dyDescent="0.3">
      <c r="A170">
        <v>1169</v>
      </c>
      <c r="B170" s="3">
        <v>46252</v>
      </c>
      <c r="C170" t="s">
        <v>121</v>
      </c>
      <c r="D170" t="s">
        <v>22</v>
      </c>
      <c r="E170" t="s">
        <v>16</v>
      </c>
      <c r="F170" s="5">
        <v>6</v>
      </c>
      <c r="G170">
        <v>1800</v>
      </c>
      <c r="H170" s="4">
        <v>0.1</v>
      </c>
      <c r="I170" s="6">
        <v>9720</v>
      </c>
      <c r="J170" s="6">
        <v>1944</v>
      </c>
      <c r="K170" t="s">
        <v>78</v>
      </c>
      <c r="L170" t="s">
        <v>36</v>
      </c>
      <c r="M170" t="s">
        <v>25</v>
      </c>
      <c r="N170" t="s">
        <v>37</v>
      </c>
    </row>
    <row r="171" spans="1:14" x14ac:dyDescent="0.3">
      <c r="A171">
        <v>1170</v>
      </c>
      <c r="B171" s="3">
        <v>46249</v>
      </c>
      <c r="C171" t="s">
        <v>167</v>
      </c>
      <c r="D171" t="s">
        <v>51</v>
      </c>
      <c r="E171" t="s">
        <v>32</v>
      </c>
      <c r="F171" s="5">
        <v>3</v>
      </c>
      <c r="G171">
        <v>9000</v>
      </c>
      <c r="H171" s="4">
        <v>0</v>
      </c>
      <c r="I171" s="6">
        <v>27000</v>
      </c>
      <c r="J171" s="6">
        <v>7560</v>
      </c>
      <c r="K171" t="s">
        <v>78</v>
      </c>
      <c r="L171" t="s">
        <v>36</v>
      </c>
      <c r="M171" t="s">
        <v>43</v>
      </c>
      <c r="N171" t="s">
        <v>37</v>
      </c>
    </row>
    <row r="172" spans="1:14" x14ac:dyDescent="0.3">
      <c r="A172">
        <v>1171</v>
      </c>
      <c r="B172" s="3">
        <v>46254</v>
      </c>
      <c r="C172" t="s">
        <v>168</v>
      </c>
      <c r="D172" t="s">
        <v>15</v>
      </c>
      <c r="E172" t="s">
        <v>16</v>
      </c>
      <c r="F172" s="5">
        <v>1</v>
      </c>
      <c r="G172">
        <v>55000</v>
      </c>
      <c r="H172" s="4">
        <v>0.1</v>
      </c>
      <c r="I172" s="6">
        <v>49500</v>
      </c>
      <c r="J172" s="6">
        <v>9900</v>
      </c>
      <c r="K172" t="s">
        <v>67</v>
      </c>
      <c r="L172" t="s">
        <v>58</v>
      </c>
      <c r="M172" t="s">
        <v>19</v>
      </c>
      <c r="N172" t="s">
        <v>26</v>
      </c>
    </row>
    <row r="173" spans="1:14" x14ac:dyDescent="0.3">
      <c r="A173">
        <v>1172</v>
      </c>
      <c r="B173" s="3">
        <v>46282</v>
      </c>
      <c r="C173" t="s">
        <v>161</v>
      </c>
      <c r="D173" t="s">
        <v>39</v>
      </c>
      <c r="E173" t="s">
        <v>40</v>
      </c>
      <c r="F173" s="5">
        <v>4</v>
      </c>
      <c r="G173">
        <v>120</v>
      </c>
      <c r="H173" s="4">
        <v>0</v>
      </c>
      <c r="I173" s="6">
        <v>480</v>
      </c>
      <c r="J173" s="6">
        <v>134.4</v>
      </c>
      <c r="K173" t="s">
        <v>61</v>
      </c>
      <c r="L173" t="s">
        <v>24</v>
      </c>
      <c r="M173" t="s">
        <v>43</v>
      </c>
      <c r="N173" t="s">
        <v>26</v>
      </c>
    </row>
    <row r="174" spans="1:14" x14ac:dyDescent="0.3">
      <c r="A174">
        <v>1173</v>
      </c>
      <c r="B174" s="3">
        <v>46266</v>
      </c>
      <c r="C174" t="s">
        <v>165</v>
      </c>
      <c r="D174" t="s">
        <v>28</v>
      </c>
      <c r="E174" t="s">
        <v>16</v>
      </c>
      <c r="F174" s="5">
        <v>2</v>
      </c>
      <c r="G174">
        <v>16000</v>
      </c>
      <c r="H174" s="4">
        <v>0</v>
      </c>
      <c r="I174" s="6">
        <v>32000</v>
      </c>
      <c r="J174" s="6">
        <v>8960</v>
      </c>
      <c r="K174" t="s">
        <v>61</v>
      </c>
      <c r="L174" t="s">
        <v>24</v>
      </c>
      <c r="M174" t="s">
        <v>19</v>
      </c>
      <c r="N174" t="s">
        <v>20</v>
      </c>
    </row>
    <row r="175" spans="1:14" x14ac:dyDescent="0.3">
      <c r="A175">
        <v>1174</v>
      </c>
      <c r="B175" s="3">
        <v>46281</v>
      </c>
      <c r="C175" t="s">
        <v>145</v>
      </c>
      <c r="D175" t="s">
        <v>45</v>
      </c>
      <c r="E175" t="s">
        <v>16</v>
      </c>
      <c r="F175" s="5">
        <v>1</v>
      </c>
      <c r="G175">
        <v>2500</v>
      </c>
      <c r="H175" s="4">
        <v>0.05</v>
      </c>
      <c r="I175" s="6">
        <v>2375</v>
      </c>
      <c r="J175" s="6">
        <v>575</v>
      </c>
      <c r="K175" t="s">
        <v>61</v>
      </c>
      <c r="L175" t="s">
        <v>24</v>
      </c>
      <c r="M175" t="s">
        <v>43</v>
      </c>
      <c r="N175" t="s">
        <v>59</v>
      </c>
    </row>
    <row r="176" spans="1:14" x14ac:dyDescent="0.3">
      <c r="A176">
        <v>1175</v>
      </c>
      <c r="B176" s="3">
        <v>46167</v>
      </c>
      <c r="C176" t="s">
        <v>169</v>
      </c>
      <c r="D176" t="s">
        <v>39</v>
      </c>
      <c r="E176" t="s">
        <v>40</v>
      </c>
      <c r="F176" s="5">
        <v>4</v>
      </c>
      <c r="G176">
        <v>120</v>
      </c>
      <c r="H176" s="4">
        <v>0.1</v>
      </c>
      <c r="I176" s="6">
        <v>432</v>
      </c>
      <c r="J176" s="6">
        <v>86.4</v>
      </c>
      <c r="K176" t="s">
        <v>35</v>
      </c>
      <c r="L176" t="s">
        <v>36</v>
      </c>
      <c r="M176" t="s">
        <v>25</v>
      </c>
      <c r="N176" t="s">
        <v>59</v>
      </c>
    </row>
    <row r="177" spans="1:14" x14ac:dyDescent="0.3">
      <c r="A177">
        <v>1176</v>
      </c>
      <c r="B177" s="3">
        <v>46071</v>
      </c>
      <c r="C177" t="s">
        <v>170</v>
      </c>
      <c r="D177" t="s">
        <v>28</v>
      </c>
      <c r="E177" t="s">
        <v>16</v>
      </c>
      <c r="F177" s="5">
        <v>6</v>
      </c>
      <c r="G177">
        <v>16000</v>
      </c>
      <c r="H177" s="4">
        <v>0.15</v>
      </c>
      <c r="I177" s="6">
        <v>81600</v>
      </c>
      <c r="J177" s="6">
        <v>12480</v>
      </c>
      <c r="K177" t="s">
        <v>67</v>
      </c>
      <c r="L177" t="s">
        <v>58</v>
      </c>
      <c r="M177" t="s">
        <v>43</v>
      </c>
      <c r="N177" t="s">
        <v>20</v>
      </c>
    </row>
    <row r="178" spans="1:14" x14ac:dyDescent="0.3">
      <c r="A178">
        <v>1177</v>
      </c>
      <c r="B178" s="3">
        <v>46095</v>
      </c>
      <c r="C178" t="s">
        <v>54</v>
      </c>
      <c r="D178" t="s">
        <v>31</v>
      </c>
      <c r="E178" t="s">
        <v>32</v>
      </c>
      <c r="F178" s="5">
        <v>3</v>
      </c>
      <c r="G178">
        <v>12000</v>
      </c>
      <c r="H178" s="4">
        <v>0.15</v>
      </c>
      <c r="I178" s="6">
        <v>30600</v>
      </c>
      <c r="J178" s="6">
        <v>4680</v>
      </c>
      <c r="K178" t="s">
        <v>47</v>
      </c>
      <c r="L178" t="s">
        <v>18</v>
      </c>
      <c r="M178" t="s">
        <v>43</v>
      </c>
      <c r="N178" t="s">
        <v>26</v>
      </c>
    </row>
    <row r="179" spans="1:14" x14ac:dyDescent="0.3">
      <c r="A179">
        <v>1178</v>
      </c>
      <c r="B179" s="3">
        <v>46215</v>
      </c>
      <c r="C179" t="s">
        <v>171</v>
      </c>
      <c r="D179" t="s">
        <v>31</v>
      </c>
      <c r="E179" t="s">
        <v>32</v>
      </c>
      <c r="F179" s="5">
        <v>2</v>
      </c>
      <c r="G179">
        <v>12000</v>
      </c>
      <c r="H179" s="4">
        <v>0</v>
      </c>
      <c r="I179" s="6">
        <v>24000</v>
      </c>
      <c r="J179" s="6">
        <v>6720</v>
      </c>
      <c r="K179" t="s">
        <v>55</v>
      </c>
      <c r="L179" t="s">
        <v>24</v>
      </c>
      <c r="M179" t="s">
        <v>25</v>
      </c>
      <c r="N179" t="s">
        <v>59</v>
      </c>
    </row>
    <row r="180" spans="1:14" x14ac:dyDescent="0.3">
      <c r="A180">
        <v>1179</v>
      </c>
      <c r="B180" s="3">
        <v>46181</v>
      </c>
      <c r="C180" t="s">
        <v>172</v>
      </c>
      <c r="D180" t="s">
        <v>45</v>
      </c>
      <c r="E180" t="s">
        <v>16</v>
      </c>
      <c r="F180" s="5">
        <v>2</v>
      </c>
      <c r="G180">
        <v>2500</v>
      </c>
      <c r="H180" s="4">
        <v>0.1</v>
      </c>
      <c r="I180" s="6">
        <v>4500</v>
      </c>
      <c r="J180" s="6">
        <v>900</v>
      </c>
      <c r="K180" t="s">
        <v>61</v>
      </c>
      <c r="L180" t="s">
        <v>24</v>
      </c>
      <c r="M180" t="s">
        <v>25</v>
      </c>
      <c r="N180" t="s">
        <v>29</v>
      </c>
    </row>
    <row r="181" spans="1:14" x14ac:dyDescent="0.3">
      <c r="A181">
        <v>1180</v>
      </c>
      <c r="B181" s="3">
        <v>46062</v>
      </c>
      <c r="C181" t="s">
        <v>173</v>
      </c>
      <c r="D181" t="s">
        <v>51</v>
      </c>
      <c r="E181" t="s">
        <v>32</v>
      </c>
      <c r="F181" s="5">
        <v>1</v>
      </c>
      <c r="G181">
        <v>9000</v>
      </c>
      <c r="H181" s="4">
        <v>0</v>
      </c>
      <c r="I181" s="6">
        <v>9000</v>
      </c>
      <c r="J181" s="6">
        <v>2520</v>
      </c>
      <c r="K181" t="s">
        <v>78</v>
      </c>
      <c r="L181" t="s">
        <v>36</v>
      </c>
      <c r="M181" t="s">
        <v>19</v>
      </c>
      <c r="N181" t="s">
        <v>37</v>
      </c>
    </row>
    <row r="182" spans="1:14" x14ac:dyDescent="0.3">
      <c r="A182">
        <v>1181</v>
      </c>
      <c r="B182" s="3">
        <v>46101</v>
      </c>
      <c r="C182" t="s">
        <v>82</v>
      </c>
      <c r="D182" t="s">
        <v>45</v>
      </c>
      <c r="E182" t="s">
        <v>16</v>
      </c>
      <c r="F182" s="5">
        <v>2</v>
      </c>
      <c r="G182">
        <v>2500</v>
      </c>
      <c r="H182" s="4">
        <v>0.05</v>
      </c>
      <c r="I182" s="6">
        <v>4750</v>
      </c>
      <c r="J182" s="6">
        <v>1150</v>
      </c>
      <c r="K182" t="s">
        <v>61</v>
      </c>
      <c r="L182" t="s">
        <v>24</v>
      </c>
      <c r="M182" t="s">
        <v>43</v>
      </c>
      <c r="N182" t="s">
        <v>29</v>
      </c>
    </row>
    <row r="183" spans="1:14" x14ac:dyDescent="0.3">
      <c r="A183">
        <v>1182</v>
      </c>
      <c r="B183" s="3">
        <v>46250</v>
      </c>
      <c r="C183" t="s">
        <v>174</v>
      </c>
      <c r="D183" t="s">
        <v>22</v>
      </c>
      <c r="E183" t="s">
        <v>16</v>
      </c>
      <c r="F183" s="5">
        <v>3</v>
      </c>
      <c r="G183">
        <v>1800</v>
      </c>
      <c r="H183" s="4">
        <v>0.15</v>
      </c>
      <c r="I183" s="6">
        <v>4590</v>
      </c>
      <c r="J183" s="6">
        <v>702</v>
      </c>
      <c r="K183" t="s">
        <v>17</v>
      </c>
      <c r="L183" t="s">
        <v>18</v>
      </c>
      <c r="M183" t="s">
        <v>43</v>
      </c>
      <c r="N183" t="s">
        <v>37</v>
      </c>
    </row>
    <row r="184" spans="1:14" x14ac:dyDescent="0.3">
      <c r="A184">
        <v>1183</v>
      </c>
      <c r="B184" s="3">
        <v>46122</v>
      </c>
      <c r="C184" t="s">
        <v>173</v>
      </c>
      <c r="D184" t="s">
        <v>31</v>
      </c>
      <c r="E184" t="s">
        <v>32</v>
      </c>
      <c r="F184" s="5">
        <v>6</v>
      </c>
      <c r="G184">
        <v>12000</v>
      </c>
      <c r="H184" s="4">
        <v>0.15</v>
      </c>
      <c r="I184" s="6">
        <v>61200</v>
      </c>
      <c r="J184" s="6">
        <v>9360</v>
      </c>
      <c r="K184" t="s">
        <v>61</v>
      </c>
      <c r="L184" t="s">
        <v>24</v>
      </c>
      <c r="M184" t="s">
        <v>43</v>
      </c>
      <c r="N184" t="s">
        <v>26</v>
      </c>
    </row>
    <row r="185" spans="1:14" x14ac:dyDescent="0.3">
      <c r="A185">
        <v>1184</v>
      </c>
      <c r="B185" s="3">
        <v>46293</v>
      </c>
      <c r="C185" t="s">
        <v>53</v>
      </c>
      <c r="D185" t="s">
        <v>39</v>
      </c>
      <c r="E185" t="s">
        <v>40</v>
      </c>
      <c r="F185" s="5">
        <v>2</v>
      </c>
      <c r="G185">
        <v>120</v>
      </c>
      <c r="H185" s="4">
        <v>0.05</v>
      </c>
      <c r="I185" s="6">
        <v>228</v>
      </c>
      <c r="J185" s="6">
        <v>55.2</v>
      </c>
      <c r="K185" t="s">
        <v>35</v>
      </c>
      <c r="L185" t="s">
        <v>36</v>
      </c>
      <c r="M185" t="s">
        <v>25</v>
      </c>
      <c r="N185" t="s">
        <v>37</v>
      </c>
    </row>
    <row r="186" spans="1:14" x14ac:dyDescent="0.3">
      <c r="A186">
        <v>1185</v>
      </c>
      <c r="B186" s="3">
        <v>46213</v>
      </c>
      <c r="C186" t="s">
        <v>175</v>
      </c>
      <c r="D186" t="s">
        <v>28</v>
      </c>
      <c r="E186" t="s">
        <v>16</v>
      </c>
      <c r="F186" s="5">
        <v>1</v>
      </c>
      <c r="G186">
        <v>16000</v>
      </c>
      <c r="H186" s="4">
        <v>0</v>
      </c>
      <c r="I186" s="6">
        <v>16000</v>
      </c>
      <c r="J186" s="6">
        <v>4480</v>
      </c>
      <c r="K186" t="s">
        <v>67</v>
      </c>
      <c r="L186" t="s">
        <v>58</v>
      </c>
      <c r="M186" t="s">
        <v>43</v>
      </c>
      <c r="N186" t="s">
        <v>37</v>
      </c>
    </row>
    <row r="187" spans="1:14" x14ac:dyDescent="0.3">
      <c r="A187">
        <v>1186</v>
      </c>
      <c r="B187" s="3">
        <v>46285</v>
      </c>
      <c r="C187" t="s">
        <v>113</v>
      </c>
      <c r="D187" t="s">
        <v>45</v>
      </c>
      <c r="E187" t="s">
        <v>16</v>
      </c>
      <c r="F187" s="5">
        <v>4</v>
      </c>
      <c r="G187">
        <v>2500</v>
      </c>
      <c r="H187" s="4">
        <v>0</v>
      </c>
      <c r="I187" s="6">
        <v>10000</v>
      </c>
      <c r="J187" s="6">
        <v>2800</v>
      </c>
      <c r="K187" t="s">
        <v>17</v>
      </c>
      <c r="L187" t="s">
        <v>18</v>
      </c>
      <c r="M187" t="s">
        <v>25</v>
      </c>
      <c r="N187" t="s">
        <v>37</v>
      </c>
    </row>
    <row r="188" spans="1:14" x14ac:dyDescent="0.3">
      <c r="A188">
        <v>1187</v>
      </c>
      <c r="B188" s="3">
        <v>46050</v>
      </c>
      <c r="C188" t="s">
        <v>176</v>
      </c>
      <c r="D188" t="s">
        <v>39</v>
      </c>
      <c r="E188" t="s">
        <v>40</v>
      </c>
      <c r="F188" s="5">
        <v>5</v>
      </c>
      <c r="G188">
        <v>120</v>
      </c>
      <c r="H188" s="4">
        <v>0.1</v>
      </c>
      <c r="I188" s="6">
        <v>540</v>
      </c>
      <c r="J188" s="6">
        <v>108</v>
      </c>
      <c r="K188" t="s">
        <v>17</v>
      </c>
      <c r="L188" t="s">
        <v>18</v>
      </c>
      <c r="M188" t="s">
        <v>43</v>
      </c>
      <c r="N188" t="s">
        <v>29</v>
      </c>
    </row>
    <row r="189" spans="1:14" x14ac:dyDescent="0.3">
      <c r="A189">
        <v>1188</v>
      </c>
      <c r="B189" s="3">
        <v>46037</v>
      </c>
      <c r="C189" t="s">
        <v>53</v>
      </c>
      <c r="D189" t="s">
        <v>31</v>
      </c>
      <c r="E189" t="s">
        <v>32</v>
      </c>
      <c r="F189" s="5">
        <v>1</v>
      </c>
      <c r="G189">
        <v>12000</v>
      </c>
      <c r="H189" s="4">
        <v>0.1</v>
      </c>
      <c r="I189" s="6">
        <v>10800</v>
      </c>
      <c r="J189" s="6">
        <v>2160</v>
      </c>
      <c r="K189" t="s">
        <v>47</v>
      </c>
      <c r="L189" t="s">
        <v>18</v>
      </c>
      <c r="M189" t="s">
        <v>43</v>
      </c>
      <c r="N189" t="s">
        <v>37</v>
      </c>
    </row>
    <row r="190" spans="1:14" x14ac:dyDescent="0.3">
      <c r="A190">
        <v>1189</v>
      </c>
      <c r="B190" s="3">
        <v>46094</v>
      </c>
      <c r="C190" t="s">
        <v>177</v>
      </c>
      <c r="D190" t="s">
        <v>75</v>
      </c>
      <c r="E190" t="s">
        <v>40</v>
      </c>
      <c r="F190" s="5">
        <v>4</v>
      </c>
      <c r="G190">
        <v>180</v>
      </c>
      <c r="H190" s="4">
        <v>0</v>
      </c>
      <c r="I190" s="6">
        <v>720</v>
      </c>
      <c r="J190" s="6">
        <v>201.6</v>
      </c>
      <c r="K190" t="s">
        <v>57</v>
      </c>
      <c r="L190" t="s">
        <v>58</v>
      </c>
      <c r="M190" t="s">
        <v>25</v>
      </c>
      <c r="N190" t="s">
        <v>29</v>
      </c>
    </row>
    <row r="191" spans="1:14" x14ac:dyDescent="0.3">
      <c r="A191">
        <v>1190</v>
      </c>
      <c r="B191" s="3">
        <v>46293</v>
      </c>
      <c r="C191" t="s">
        <v>178</v>
      </c>
      <c r="D191" t="s">
        <v>39</v>
      </c>
      <c r="E191" t="s">
        <v>40</v>
      </c>
      <c r="F191" s="5">
        <v>1</v>
      </c>
      <c r="G191">
        <v>120</v>
      </c>
      <c r="H191" s="4">
        <v>0.1</v>
      </c>
      <c r="I191" s="6">
        <v>108</v>
      </c>
      <c r="J191" s="6">
        <v>21.6</v>
      </c>
      <c r="K191" t="s">
        <v>17</v>
      </c>
      <c r="L191" t="s">
        <v>18</v>
      </c>
      <c r="M191" t="s">
        <v>25</v>
      </c>
      <c r="N191" t="s">
        <v>29</v>
      </c>
    </row>
    <row r="192" spans="1:14" x14ac:dyDescent="0.3">
      <c r="A192">
        <v>1191</v>
      </c>
      <c r="B192" s="3">
        <v>46237</v>
      </c>
      <c r="C192" t="s">
        <v>179</v>
      </c>
      <c r="D192" t="s">
        <v>22</v>
      </c>
      <c r="E192" t="s">
        <v>16</v>
      </c>
      <c r="F192" s="5">
        <v>4</v>
      </c>
      <c r="G192">
        <v>1800</v>
      </c>
      <c r="H192" s="4">
        <v>0</v>
      </c>
      <c r="I192" s="6">
        <v>7200</v>
      </c>
      <c r="J192" s="6">
        <v>2016</v>
      </c>
      <c r="K192" t="s">
        <v>57</v>
      </c>
      <c r="L192" t="s">
        <v>58</v>
      </c>
      <c r="M192" t="s">
        <v>19</v>
      </c>
      <c r="N192" t="s">
        <v>26</v>
      </c>
    </row>
    <row r="193" spans="1:14" x14ac:dyDescent="0.3">
      <c r="A193">
        <v>1192</v>
      </c>
      <c r="B193" s="3">
        <v>46146</v>
      </c>
      <c r="C193" t="s">
        <v>94</v>
      </c>
      <c r="D193" t="s">
        <v>45</v>
      </c>
      <c r="E193" t="s">
        <v>16</v>
      </c>
      <c r="F193" s="5">
        <v>3</v>
      </c>
      <c r="G193">
        <v>2500</v>
      </c>
      <c r="H193" s="4">
        <v>0.15</v>
      </c>
      <c r="I193" s="6">
        <v>6375</v>
      </c>
      <c r="J193" s="6">
        <v>975</v>
      </c>
      <c r="K193" t="s">
        <v>23</v>
      </c>
      <c r="L193" t="s">
        <v>24</v>
      </c>
      <c r="M193" t="s">
        <v>25</v>
      </c>
      <c r="N193" t="s">
        <v>26</v>
      </c>
    </row>
    <row r="194" spans="1:14" x14ac:dyDescent="0.3">
      <c r="A194">
        <v>1193</v>
      </c>
      <c r="B194" s="3">
        <v>46236</v>
      </c>
      <c r="C194" t="s">
        <v>38</v>
      </c>
      <c r="D194" t="s">
        <v>45</v>
      </c>
      <c r="E194" t="s">
        <v>16</v>
      </c>
      <c r="F194" s="5">
        <v>6</v>
      </c>
      <c r="G194">
        <v>2500</v>
      </c>
      <c r="H194" s="4">
        <v>0</v>
      </c>
      <c r="I194" s="6">
        <v>15000</v>
      </c>
      <c r="J194" s="6">
        <v>4200</v>
      </c>
      <c r="K194" t="s">
        <v>52</v>
      </c>
      <c r="L194" t="s">
        <v>24</v>
      </c>
      <c r="M194" t="s">
        <v>19</v>
      </c>
      <c r="N194" t="s">
        <v>26</v>
      </c>
    </row>
    <row r="195" spans="1:14" x14ac:dyDescent="0.3">
      <c r="A195">
        <v>1194</v>
      </c>
      <c r="B195" s="3">
        <v>46282</v>
      </c>
      <c r="C195" t="s">
        <v>107</v>
      </c>
      <c r="D195" t="s">
        <v>28</v>
      </c>
      <c r="E195" t="s">
        <v>16</v>
      </c>
      <c r="F195" s="5">
        <v>5</v>
      </c>
      <c r="G195">
        <v>16000</v>
      </c>
      <c r="H195" s="4">
        <v>0</v>
      </c>
      <c r="I195" s="6">
        <v>80000</v>
      </c>
      <c r="J195" s="6">
        <v>22400</v>
      </c>
      <c r="K195" t="s">
        <v>55</v>
      </c>
      <c r="L195" t="s">
        <v>24</v>
      </c>
      <c r="M195" t="s">
        <v>19</v>
      </c>
      <c r="N195" t="s">
        <v>37</v>
      </c>
    </row>
    <row r="196" spans="1:14" x14ac:dyDescent="0.3">
      <c r="A196">
        <v>1195</v>
      </c>
      <c r="B196" s="3">
        <v>46214</v>
      </c>
      <c r="C196" t="s">
        <v>159</v>
      </c>
      <c r="D196" t="s">
        <v>51</v>
      </c>
      <c r="E196" t="s">
        <v>32</v>
      </c>
      <c r="F196" s="5">
        <v>6</v>
      </c>
      <c r="G196">
        <v>9000</v>
      </c>
      <c r="H196" s="4">
        <v>0</v>
      </c>
      <c r="I196" s="6">
        <v>54000</v>
      </c>
      <c r="J196" s="6">
        <v>15120</v>
      </c>
      <c r="K196" t="s">
        <v>78</v>
      </c>
      <c r="L196" t="s">
        <v>36</v>
      </c>
      <c r="M196" t="s">
        <v>25</v>
      </c>
      <c r="N196" t="s">
        <v>20</v>
      </c>
    </row>
    <row r="197" spans="1:14" x14ac:dyDescent="0.3">
      <c r="A197">
        <v>1196</v>
      </c>
      <c r="B197" s="3">
        <v>46193</v>
      </c>
      <c r="C197" t="s">
        <v>68</v>
      </c>
      <c r="D197" t="s">
        <v>45</v>
      </c>
      <c r="E197" t="s">
        <v>16</v>
      </c>
      <c r="F197" s="5">
        <v>1</v>
      </c>
      <c r="G197">
        <v>2500</v>
      </c>
      <c r="H197" s="4">
        <v>0.1</v>
      </c>
      <c r="I197" s="6">
        <v>2250</v>
      </c>
      <c r="J197" s="6">
        <v>450</v>
      </c>
      <c r="K197" t="s">
        <v>52</v>
      </c>
      <c r="L197" t="s">
        <v>24</v>
      </c>
      <c r="M197" t="s">
        <v>19</v>
      </c>
      <c r="N197" t="s">
        <v>37</v>
      </c>
    </row>
    <row r="198" spans="1:14" x14ac:dyDescent="0.3">
      <c r="A198">
        <v>1197</v>
      </c>
      <c r="B198" s="3">
        <v>46268</v>
      </c>
      <c r="C198" t="s">
        <v>84</v>
      </c>
      <c r="D198" t="s">
        <v>45</v>
      </c>
      <c r="E198" t="s">
        <v>16</v>
      </c>
      <c r="F198" s="5">
        <v>2</v>
      </c>
      <c r="G198">
        <v>2500</v>
      </c>
      <c r="H198" s="4">
        <v>0</v>
      </c>
      <c r="I198" s="6">
        <v>5000</v>
      </c>
      <c r="J198" s="6">
        <v>1400</v>
      </c>
      <c r="K198" t="s">
        <v>61</v>
      </c>
      <c r="L198" t="s">
        <v>24</v>
      </c>
      <c r="M198" t="s">
        <v>25</v>
      </c>
      <c r="N198" t="s">
        <v>20</v>
      </c>
    </row>
    <row r="199" spans="1:14" x14ac:dyDescent="0.3">
      <c r="A199">
        <v>1198</v>
      </c>
      <c r="B199" s="3">
        <v>46125</v>
      </c>
      <c r="C199" t="s">
        <v>151</v>
      </c>
      <c r="D199" t="s">
        <v>15</v>
      </c>
      <c r="E199" t="s">
        <v>16</v>
      </c>
      <c r="F199" s="5">
        <v>3</v>
      </c>
      <c r="G199">
        <v>55000</v>
      </c>
      <c r="H199" s="4">
        <v>0.1</v>
      </c>
      <c r="I199" s="6">
        <v>148500</v>
      </c>
      <c r="J199" s="6">
        <v>29700</v>
      </c>
      <c r="K199" t="s">
        <v>52</v>
      </c>
      <c r="L199" t="s">
        <v>24</v>
      </c>
      <c r="M199" t="s">
        <v>43</v>
      </c>
      <c r="N199" t="s">
        <v>20</v>
      </c>
    </row>
    <row r="200" spans="1:14" x14ac:dyDescent="0.3">
      <c r="A200">
        <v>1199</v>
      </c>
      <c r="B200" s="3">
        <v>46120</v>
      </c>
      <c r="C200" t="s">
        <v>180</v>
      </c>
      <c r="D200" t="s">
        <v>51</v>
      </c>
      <c r="E200" t="s">
        <v>32</v>
      </c>
      <c r="F200" s="5">
        <v>3</v>
      </c>
      <c r="G200">
        <v>9000</v>
      </c>
      <c r="H200" s="4">
        <v>0</v>
      </c>
      <c r="I200" s="6">
        <v>27000</v>
      </c>
      <c r="J200" s="6">
        <v>7560</v>
      </c>
      <c r="K200" t="s">
        <v>78</v>
      </c>
      <c r="L200" t="s">
        <v>36</v>
      </c>
      <c r="M200" t="s">
        <v>43</v>
      </c>
      <c r="N200" t="s">
        <v>37</v>
      </c>
    </row>
    <row r="201" spans="1:14" x14ac:dyDescent="0.3">
      <c r="A201">
        <v>1200</v>
      </c>
      <c r="B201" s="3">
        <v>46227</v>
      </c>
      <c r="C201" t="s">
        <v>179</v>
      </c>
      <c r="D201" t="s">
        <v>75</v>
      </c>
      <c r="E201" t="s">
        <v>40</v>
      </c>
      <c r="F201" s="5">
        <v>4</v>
      </c>
      <c r="G201">
        <v>180</v>
      </c>
      <c r="H201" s="4">
        <v>0.1</v>
      </c>
      <c r="I201" s="6">
        <v>648</v>
      </c>
      <c r="J201" s="6">
        <v>129.6</v>
      </c>
      <c r="K201" t="s">
        <v>47</v>
      </c>
      <c r="L201" t="s">
        <v>18</v>
      </c>
      <c r="M201" t="s">
        <v>43</v>
      </c>
      <c r="N201" t="s">
        <v>26</v>
      </c>
    </row>
    <row r="202" spans="1:14" x14ac:dyDescent="0.3">
      <c r="A202">
        <v>1201</v>
      </c>
      <c r="B202" s="3">
        <v>46159</v>
      </c>
      <c r="C202" t="s">
        <v>112</v>
      </c>
      <c r="D202" t="s">
        <v>34</v>
      </c>
      <c r="E202" t="s">
        <v>16</v>
      </c>
      <c r="F202" s="5">
        <v>6</v>
      </c>
      <c r="G202">
        <v>22000</v>
      </c>
      <c r="H202" s="4">
        <v>0.15</v>
      </c>
      <c r="I202" s="6">
        <v>112200</v>
      </c>
      <c r="J202" s="6">
        <v>17160</v>
      </c>
      <c r="K202" t="s">
        <v>57</v>
      </c>
      <c r="L202" t="s">
        <v>58</v>
      </c>
      <c r="M202" t="s">
        <v>19</v>
      </c>
      <c r="N202" t="s">
        <v>59</v>
      </c>
    </row>
    <row r="203" spans="1:14" x14ac:dyDescent="0.3">
      <c r="A203">
        <v>1202</v>
      </c>
      <c r="B203" s="3">
        <v>46187</v>
      </c>
      <c r="C203" t="s">
        <v>117</v>
      </c>
      <c r="D203" t="s">
        <v>34</v>
      </c>
      <c r="E203" t="s">
        <v>16</v>
      </c>
      <c r="F203" s="5">
        <v>1</v>
      </c>
      <c r="G203">
        <v>22000</v>
      </c>
      <c r="H203" s="4">
        <v>0.1</v>
      </c>
      <c r="I203" s="6">
        <v>19800</v>
      </c>
      <c r="J203" s="6">
        <v>3960</v>
      </c>
      <c r="K203" t="s">
        <v>67</v>
      </c>
      <c r="L203" t="s">
        <v>58</v>
      </c>
      <c r="M203" t="s">
        <v>19</v>
      </c>
      <c r="N203" t="s">
        <v>37</v>
      </c>
    </row>
    <row r="204" spans="1:14" x14ac:dyDescent="0.3">
      <c r="A204">
        <v>1203</v>
      </c>
      <c r="B204" s="3">
        <v>46108</v>
      </c>
      <c r="C204" t="s">
        <v>91</v>
      </c>
      <c r="D204" t="s">
        <v>75</v>
      </c>
      <c r="E204" t="s">
        <v>40</v>
      </c>
      <c r="F204" s="5">
        <v>3</v>
      </c>
      <c r="G204">
        <v>180</v>
      </c>
      <c r="H204" s="4">
        <v>0.15</v>
      </c>
      <c r="I204" s="6">
        <v>459</v>
      </c>
      <c r="J204" s="6">
        <v>70.2</v>
      </c>
      <c r="K204" t="s">
        <v>23</v>
      </c>
      <c r="L204" t="s">
        <v>24</v>
      </c>
      <c r="M204" t="s">
        <v>19</v>
      </c>
      <c r="N204" t="s">
        <v>37</v>
      </c>
    </row>
    <row r="205" spans="1:14" x14ac:dyDescent="0.3">
      <c r="A205">
        <v>1204</v>
      </c>
      <c r="B205" s="3">
        <v>46163</v>
      </c>
      <c r="C205" t="s">
        <v>181</v>
      </c>
      <c r="D205" t="s">
        <v>15</v>
      </c>
      <c r="E205" t="s">
        <v>16</v>
      </c>
      <c r="F205" s="5">
        <v>1</v>
      </c>
      <c r="G205">
        <v>55000</v>
      </c>
      <c r="H205" s="4">
        <v>0.15</v>
      </c>
      <c r="I205" s="6">
        <v>46750</v>
      </c>
      <c r="J205" s="6">
        <v>7150</v>
      </c>
      <c r="K205" t="s">
        <v>78</v>
      </c>
      <c r="L205" t="s">
        <v>36</v>
      </c>
      <c r="M205" t="s">
        <v>25</v>
      </c>
      <c r="N205" t="s">
        <v>29</v>
      </c>
    </row>
    <row r="206" spans="1:14" x14ac:dyDescent="0.3">
      <c r="A206">
        <v>1205</v>
      </c>
      <c r="B206" s="3">
        <v>46247</v>
      </c>
      <c r="C206" t="s">
        <v>182</v>
      </c>
      <c r="D206" t="s">
        <v>15</v>
      </c>
      <c r="E206" t="s">
        <v>16</v>
      </c>
      <c r="F206" s="5">
        <v>2</v>
      </c>
      <c r="G206">
        <v>55000</v>
      </c>
      <c r="H206" s="4">
        <v>0</v>
      </c>
      <c r="I206" s="6">
        <v>110000</v>
      </c>
      <c r="J206" s="6">
        <v>30800</v>
      </c>
      <c r="K206" t="s">
        <v>17</v>
      </c>
      <c r="L206" t="s">
        <v>18</v>
      </c>
      <c r="M206" t="s">
        <v>43</v>
      </c>
      <c r="N206" t="s">
        <v>37</v>
      </c>
    </row>
    <row r="207" spans="1:14" x14ac:dyDescent="0.3">
      <c r="A207">
        <v>1206</v>
      </c>
      <c r="B207" s="3">
        <v>46039</v>
      </c>
      <c r="C207" t="s">
        <v>183</v>
      </c>
      <c r="D207" t="s">
        <v>22</v>
      </c>
      <c r="E207" t="s">
        <v>16</v>
      </c>
      <c r="F207" s="5">
        <v>2</v>
      </c>
      <c r="G207">
        <v>1800</v>
      </c>
      <c r="H207" s="4">
        <v>0.15</v>
      </c>
      <c r="I207" s="6">
        <v>3060</v>
      </c>
      <c r="J207" s="6">
        <v>468</v>
      </c>
      <c r="K207" t="s">
        <v>78</v>
      </c>
      <c r="L207" t="s">
        <v>36</v>
      </c>
      <c r="M207" t="s">
        <v>25</v>
      </c>
      <c r="N207" t="s">
        <v>26</v>
      </c>
    </row>
    <row r="208" spans="1:14" x14ac:dyDescent="0.3">
      <c r="A208">
        <v>1207</v>
      </c>
      <c r="B208" s="3">
        <v>46093</v>
      </c>
      <c r="C208" t="s">
        <v>184</v>
      </c>
      <c r="D208" t="s">
        <v>28</v>
      </c>
      <c r="E208" t="s">
        <v>16</v>
      </c>
      <c r="F208" s="5">
        <v>3</v>
      </c>
      <c r="G208">
        <v>16000</v>
      </c>
      <c r="H208" s="4">
        <v>0.15</v>
      </c>
      <c r="I208" s="6">
        <v>40800</v>
      </c>
      <c r="J208" s="6">
        <v>6240</v>
      </c>
      <c r="K208" t="s">
        <v>78</v>
      </c>
      <c r="L208" t="s">
        <v>36</v>
      </c>
      <c r="M208" t="s">
        <v>25</v>
      </c>
      <c r="N208" t="s">
        <v>20</v>
      </c>
    </row>
    <row r="209" spans="1:14" x14ac:dyDescent="0.3">
      <c r="A209">
        <v>1208</v>
      </c>
      <c r="B209" s="3">
        <v>46036</v>
      </c>
      <c r="C209" t="s">
        <v>119</v>
      </c>
      <c r="D209" t="s">
        <v>45</v>
      </c>
      <c r="E209" t="s">
        <v>16</v>
      </c>
      <c r="F209" s="5">
        <v>4</v>
      </c>
      <c r="G209">
        <v>2500</v>
      </c>
      <c r="H209" s="4">
        <v>0.15</v>
      </c>
      <c r="I209" s="6">
        <v>8500</v>
      </c>
      <c r="J209" s="6">
        <v>1300</v>
      </c>
      <c r="K209" t="s">
        <v>52</v>
      </c>
      <c r="L209" t="s">
        <v>24</v>
      </c>
      <c r="M209" t="s">
        <v>43</v>
      </c>
      <c r="N209" t="s">
        <v>37</v>
      </c>
    </row>
    <row r="210" spans="1:14" x14ac:dyDescent="0.3">
      <c r="A210">
        <v>1209</v>
      </c>
      <c r="B210" s="3">
        <v>46132</v>
      </c>
      <c r="C210" t="s">
        <v>148</v>
      </c>
      <c r="D210" t="s">
        <v>22</v>
      </c>
      <c r="E210" t="s">
        <v>16</v>
      </c>
      <c r="F210" s="5">
        <v>3</v>
      </c>
      <c r="G210">
        <v>1800</v>
      </c>
      <c r="H210" s="4">
        <v>0.15</v>
      </c>
      <c r="I210" s="6">
        <v>4590</v>
      </c>
      <c r="J210" s="6">
        <v>702</v>
      </c>
      <c r="K210" t="s">
        <v>17</v>
      </c>
      <c r="L210" t="s">
        <v>18</v>
      </c>
      <c r="M210" t="s">
        <v>25</v>
      </c>
      <c r="N210" t="s">
        <v>37</v>
      </c>
    </row>
    <row r="211" spans="1:14" x14ac:dyDescent="0.3">
      <c r="A211">
        <v>1210</v>
      </c>
      <c r="B211" s="3">
        <v>46111</v>
      </c>
      <c r="C211" t="s">
        <v>69</v>
      </c>
      <c r="D211" t="s">
        <v>75</v>
      </c>
      <c r="E211" t="s">
        <v>40</v>
      </c>
      <c r="F211" s="5">
        <v>1</v>
      </c>
      <c r="G211">
        <v>180</v>
      </c>
      <c r="H211" s="4">
        <v>0.1</v>
      </c>
      <c r="I211" s="6">
        <v>162</v>
      </c>
      <c r="J211" s="6">
        <v>32.4</v>
      </c>
      <c r="K211" t="s">
        <v>78</v>
      </c>
      <c r="L211" t="s">
        <v>36</v>
      </c>
      <c r="M211" t="s">
        <v>19</v>
      </c>
      <c r="N211" t="s">
        <v>26</v>
      </c>
    </row>
    <row r="212" spans="1:14" x14ac:dyDescent="0.3">
      <c r="A212">
        <v>1211</v>
      </c>
      <c r="B212" s="3">
        <v>46171</v>
      </c>
      <c r="C212" t="s">
        <v>171</v>
      </c>
      <c r="D212" t="s">
        <v>51</v>
      </c>
      <c r="E212" t="s">
        <v>32</v>
      </c>
      <c r="F212" s="5">
        <v>2</v>
      </c>
      <c r="G212">
        <v>9000</v>
      </c>
      <c r="H212" s="4">
        <v>0.05</v>
      </c>
      <c r="I212" s="6">
        <v>17100</v>
      </c>
      <c r="J212" s="6">
        <v>4140</v>
      </c>
      <c r="K212" t="s">
        <v>78</v>
      </c>
      <c r="L212" t="s">
        <v>36</v>
      </c>
      <c r="M212" t="s">
        <v>25</v>
      </c>
      <c r="N212" t="s">
        <v>29</v>
      </c>
    </row>
    <row r="213" spans="1:14" x14ac:dyDescent="0.3">
      <c r="A213">
        <v>1212</v>
      </c>
      <c r="B213" s="3">
        <v>46094</v>
      </c>
      <c r="C213" t="s">
        <v>123</v>
      </c>
      <c r="D213" t="s">
        <v>42</v>
      </c>
      <c r="E213" t="s">
        <v>16</v>
      </c>
      <c r="F213" s="5">
        <v>4</v>
      </c>
      <c r="G213">
        <v>14000</v>
      </c>
      <c r="H213" s="4">
        <v>0</v>
      </c>
      <c r="I213" s="6">
        <v>56000</v>
      </c>
      <c r="J213" s="6">
        <v>15680</v>
      </c>
      <c r="K213" t="s">
        <v>78</v>
      </c>
      <c r="L213" t="s">
        <v>36</v>
      </c>
      <c r="M213" t="s">
        <v>43</v>
      </c>
      <c r="N213" t="s">
        <v>26</v>
      </c>
    </row>
    <row r="214" spans="1:14" x14ac:dyDescent="0.3">
      <c r="A214">
        <v>1213</v>
      </c>
      <c r="B214" s="3">
        <v>46089</v>
      </c>
      <c r="C214" t="s">
        <v>151</v>
      </c>
      <c r="D214" t="s">
        <v>22</v>
      </c>
      <c r="E214" t="s">
        <v>16</v>
      </c>
      <c r="F214" s="5">
        <v>1</v>
      </c>
      <c r="G214">
        <v>1800</v>
      </c>
      <c r="H214" s="4">
        <v>0</v>
      </c>
      <c r="I214" s="6">
        <v>1800</v>
      </c>
      <c r="J214" s="6">
        <v>504</v>
      </c>
      <c r="K214" t="s">
        <v>67</v>
      </c>
      <c r="L214" t="s">
        <v>58</v>
      </c>
      <c r="M214" t="s">
        <v>19</v>
      </c>
      <c r="N214" t="s">
        <v>37</v>
      </c>
    </row>
    <row r="215" spans="1:14" x14ac:dyDescent="0.3">
      <c r="A215">
        <v>1214</v>
      </c>
      <c r="B215" s="3">
        <v>46232</v>
      </c>
      <c r="C215" t="s">
        <v>105</v>
      </c>
      <c r="D215" t="s">
        <v>22</v>
      </c>
      <c r="E215" t="s">
        <v>16</v>
      </c>
      <c r="F215" s="5">
        <v>1</v>
      </c>
      <c r="G215">
        <v>1800</v>
      </c>
      <c r="H215" s="4">
        <v>0.05</v>
      </c>
      <c r="I215" s="6">
        <v>1710</v>
      </c>
      <c r="J215" s="6">
        <v>414</v>
      </c>
      <c r="K215" t="s">
        <v>78</v>
      </c>
      <c r="L215" t="s">
        <v>36</v>
      </c>
      <c r="M215" t="s">
        <v>43</v>
      </c>
      <c r="N215" t="s">
        <v>37</v>
      </c>
    </row>
    <row r="216" spans="1:14" x14ac:dyDescent="0.3">
      <c r="A216">
        <v>1215</v>
      </c>
      <c r="B216" s="3">
        <v>46287</v>
      </c>
      <c r="C216" t="s">
        <v>112</v>
      </c>
      <c r="D216" t="s">
        <v>31</v>
      </c>
      <c r="E216" t="s">
        <v>32</v>
      </c>
      <c r="F216" s="5">
        <v>2</v>
      </c>
      <c r="G216">
        <v>12000</v>
      </c>
      <c r="H216" s="4">
        <v>0.05</v>
      </c>
      <c r="I216" s="6">
        <v>22800</v>
      </c>
      <c r="J216" s="6">
        <v>5520</v>
      </c>
      <c r="K216" t="s">
        <v>47</v>
      </c>
      <c r="L216" t="s">
        <v>18</v>
      </c>
      <c r="M216" t="s">
        <v>25</v>
      </c>
      <c r="N216" t="s">
        <v>26</v>
      </c>
    </row>
    <row r="217" spans="1:14" x14ac:dyDescent="0.3">
      <c r="A217">
        <v>1216</v>
      </c>
      <c r="B217" s="3">
        <v>46101</v>
      </c>
      <c r="C217" t="s">
        <v>69</v>
      </c>
      <c r="D217" t="s">
        <v>51</v>
      </c>
      <c r="E217" t="s">
        <v>32</v>
      </c>
      <c r="F217" s="5">
        <v>2</v>
      </c>
      <c r="G217">
        <v>9000</v>
      </c>
      <c r="H217" s="4">
        <v>0.05</v>
      </c>
      <c r="I217" s="6">
        <v>17100</v>
      </c>
      <c r="J217" s="6">
        <v>4140</v>
      </c>
      <c r="K217" t="s">
        <v>78</v>
      </c>
      <c r="L217" t="s">
        <v>36</v>
      </c>
      <c r="M217" t="s">
        <v>43</v>
      </c>
      <c r="N217" t="s">
        <v>26</v>
      </c>
    </row>
    <row r="218" spans="1:14" x14ac:dyDescent="0.3">
      <c r="A218">
        <v>1217</v>
      </c>
      <c r="B218" s="3">
        <v>46168</v>
      </c>
      <c r="C218" t="s">
        <v>185</v>
      </c>
      <c r="D218" t="s">
        <v>34</v>
      </c>
      <c r="E218" t="s">
        <v>16</v>
      </c>
      <c r="F218" s="5">
        <v>3</v>
      </c>
      <c r="G218">
        <v>22000</v>
      </c>
      <c r="H218" s="4">
        <v>0.05</v>
      </c>
      <c r="I218" s="6">
        <v>62700</v>
      </c>
      <c r="J218" s="6">
        <v>15180</v>
      </c>
      <c r="K218" t="s">
        <v>52</v>
      </c>
      <c r="L218" t="s">
        <v>24</v>
      </c>
      <c r="M218" t="s">
        <v>19</v>
      </c>
      <c r="N218" t="s">
        <v>59</v>
      </c>
    </row>
    <row r="219" spans="1:14" x14ac:dyDescent="0.3">
      <c r="A219">
        <v>1218</v>
      </c>
      <c r="B219" s="3">
        <v>46070</v>
      </c>
      <c r="C219" t="s">
        <v>95</v>
      </c>
      <c r="D219" t="s">
        <v>28</v>
      </c>
      <c r="E219" t="s">
        <v>16</v>
      </c>
      <c r="F219" s="5">
        <v>6</v>
      </c>
      <c r="G219">
        <v>16000</v>
      </c>
      <c r="H219" s="4">
        <v>0.05</v>
      </c>
      <c r="I219" s="6">
        <v>91200</v>
      </c>
      <c r="J219" s="6">
        <v>22080</v>
      </c>
      <c r="K219" t="s">
        <v>35</v>
      </c>
      <c r="L219" t="s">
        <v>36</v>
      </c>
      <c r="M219" t="s">
        <v>25</v>
      </c>
      <c r="N219" t="s">
        <v>26</v>
      </c>
    </row>
    <row r="220" spans="1:14" x14ac:dyDescent="0.3">
      <c r="A220">
        <v>1219</v>
      </c>
      <c r="B220" s="3">
        <v>46195</v>
      </c>
      <c r="C220" t="s">
        <v>82</v>
      </c>
      <c r="D220" t="s">
        <v>22</v>
      </c>
      <c r="E220" t="s">
        <v>16</v>
      </c>
      <c r="F220" s="5">
        <v>1</v>
      </c>
      <c r="G220">
        <v>1800</v>
      </c>
      <c r="H220" s="4">
        <v>0</v>
      </c>
      <c r="I220" s="6">
        <v>1800</v>
      </c>
      <c r="J220" s="6">
        <v>504</v>
      </c>
      <c r="K220" t="s">
        <v>57</v>
      </c>
      <c r="L220" t="s">
        <v>58</v>
      </c>
      <c r="M220" t="s">
        <v>19</v>
      </c>
      <c r="N220" t="s">
        <v>29</v>
      </c>
    </row>
    <row r="221" spans="1:14" x14ac:dyDescent="0.3">
      <c r="A221">
        <v>1220</v>
      </c>
      <c r="B221" s="3">
        <v>46236</v>
      </c>
      <c r="C221" t="s">
        <v>125</v>
      </c>
      <c r="D221" t="s">
        <v>22</v>
      </c>
      <c r="E221" t="s">
        <v>16</v>
      </c>
      <c r="F221" s="5">
        <v>6</v>
      </c>
      <c r="G221">
        <v>1800</v>
      </c>
      <c r="H221" s="4">
        <v>0</v>
      </c>
      <c r="I221" s="6">
        <v>10800</v>
      </c>
      <c r="J221" s="6">
        <v>3024</v>
      </c>
      <c r="K221" t="s">
        <v>61</v>
      </c>
      <c r="L221" t="s">
        <v>24</v>
      </c>
      <c r="M221" t="s">
        <v>19</v>
      </c>
      <c r="N221" t="s">
        <v>59</v>
      </c>
    </row>
    <row r="222" spans="1:14" x14ac:dyDescent="0.3">
      <c r="A222">
        <v>1221</v>
      </c>
      <c r="B222" s="3">
        <v>46270</v>
      </c>
      <c r="C222" t="s">
        <v>137</v>
      </c>
      <c r="D222" t="s">
        <v>42</v>
      </c>
      <c r="E222" t="s">
        <v>16</v>
      </c>
      <c r="F222" s="5">
        <v>6</v>
      </c>
      <c r="G222">
        <v>14000</v>
      </c>
      <c r="H222" s="4">
        <v>0.15</v>
      </c>
      <c r="I222" s="6">
        <v>71400</v>
      </c>
      <c r="J222" s="6">
        <v>10920</v>
      </c>
      <c r="K222" t="s">
        <v>67</v>
      </c>
      <c r="L222" t="s">
        <v>58</v>
      </c>
      <c r="M222" t="s">
        <v>19</v>
      </c>
      <c r="N222" t="s">
        <v>20</v>
      </c>
    </row>
    <row r="223" spans="1:14" x14ac:dyDescent="0.3">
      <c r="A223">
        <v>1222</v>
      </c>
      <c r="B223" s="3">
        <v>46103</v>
      </c>
      <c r="C223" t="s">
        <v>80</v>
      </c>
      <c r="D223" t="s">
        <v>75</v>
      </c>
      <c r="E223" t="s">
        <v>40</v>
      </c>
      <c r="F223" s="5">
        <v>4</v>
      </c>
      <c r="G223">
        <v>180</v>
      </c>
      <c r="H223" s="4">
        <v>0.15</v>
      </c>
      <c r="I223" s="6">
        <v>612</v>
      </c>
      <c r="J223" s="6">
        <v>93.6</v>
      </c>
      <c r="K223" t="s">
        <v>61</v>
      </c>
      <c r="L223" t="s">
        <v>24</v>
      </c>
      <c r="M223" t="s">
        <v>19</v>
      </c>
      <c r="N223" t="s">
        <v>29</v>
      </c>
    </row>
    <row r="224" spans="1:14" x14ac:dyDescent="0.3">
      <c r="A224">
        <v>1223</v>
      </c>
      <c r="B224" s="3">
        <v>46183</v>
      </c>
      <c r="C224" t="s">
        <v>154</v>
      </c>
      <c r="D224" t="s">
        <v>31</v>
      </c>
      <c r="E224" t="s">
        <v>32</v>
      </c>
      <c r="F224" s="5">
        <v>6</v>
      </c>
      <c r="G224">
        <v>12000</v>
      </c>
      <c r="H224" s="4">
        <v>0.1</v>
      </c>
      <c r="I224" s="6">
        <v>64800</v>
      </c>
      <c r="J224" s="6">
        <v>12960</v>
      </c>
      <c r="K224" t="s">
        <v>55</v>
      </c>
      <c r="L224" t="s">
        <v>24</v>
      </c>
      <c r="M224" t="s">
        <v>19</v>
      </c>
      <c r="N224" t="s">
        <v>26</v>
      </c>
    </row>
    <row r="225" spans="1:14" x14ac:dyDescent="0.3">
      <c r="A225">
        <v>1224</v>
      </c>
      <c r="B225" s="3">
        <v>46077</v>
      </c>
      <c r="C225" t="s">
        <v>186</v>
      </c>
      <c r="D225" t="s">
        <v>31</v>
      </c>
      <c r="E225" t="s">
        <v>32</v>
      </c>
      <c r="F225" s="5">
        <v>2</v>
      </c>
      <c r="G225">
        <v>12000</v>
      </c>
      <c r="H225" s="4">
        <v>0.15</v>
      </c>
      <c r="I225" s="6">
        <v>20400</v>
      </c>
      <c r="J225" s="6">
        <v>3120</v>
      </c>
      <c r="K225" t="s">
        <v>57</v>
      </c>
      <c r="L225" t="s">
        <v>58</v>
      </c>
      <c r="M225" t="s">
        <v>25</v>
      </c>
      <c r="N225" t="s">
        <v>29</v>
      </c>
    </row>
    <row r="226" spans="1:14" x14ac:dyDescent="0.3">
      <c r="A226">
        <v>1225</v>
      </c>
      <c r="B226" s="3">
        <v>46072</v>
      </c>
      <c r="C226" t="s">
        <v>163</v>
      </c>
      <c r="D226" t="s">
        <v>15</v>
      </c>
      <c r="E226" t="s">
        <v>16</v>
      </c>
      <c r="F226" s="5">
        <v>3</v>
      </c>
      <c r="G226">
        <v>55000</v>
      </c>
      <c r="H226" s="4">
        <v>0.15</v>
      </c>
      <c r="I226" s="6">
        <v>140250</v>
      </c>
      <c r="J226" s="6">
        <v>21450</v>
      </c>
      <c r="K226" t="s">
        <v>35</v>
      </c>
      <c r="L226" t="s">
        <v>36</v>
      </c>
      <c r="M226" t="s">
        <v>25</v>
      </c>
      <c r="N226" t="s">
        <v>59</v>
      </c>
    </row>
    <row r="227" spans="1:14" x14ac:dyDescent="0.3">
      <c r="A227">
        <v>1226</v>
      </c>
      <c r="B227" s="3">
        <v>46183</v>
      </c>
      <c r="C227" t="s">
        <v>71</v>
      </c>
      <c r="D227" t="s">
        <v>42</v>
      </c>
      <c r="E227" t="s">
        <v>16</v>
      </c>
      <c r="F227" s="5">
        <v>2</v>
      </c>
      <c r="G227">
        <v>14000</v>
      </c>
      <c r="H227" s="4">
        <v>0.15</v>
      </c>
      <c r="I227" s="6">
        <v>23800</v>
      </c>
      <c r="J227" s="6">
        <v>3640</v>
      </c>
      <c r="K227" t="s">
        <v>52</v>
      </c>
      <c r="L227" t="s">
        <v>24</v>
      </c>
      <c r="M227" t="s">
        <v>43</v>
      </c>
      <c r="N227" t="s">
        <v>37</v>
      </c>
    </row>
    <row r="228" spans="1:14" x14ac:dyDescent="0.3">
      <c r="A228">
        <v>1227</v>
      </c>
      <c r="B228" s="3">
        <v>46034</v>
      </c>
      <c r="C228" t="s">
        <v>187</v>
      </c>
      <c r="D228" t="s">
        <v>34</v>
      </c>
      <c r="E228" t="s">
        <v>16</v>
      </c>
      <c r="F228" s="5">
        <v>4</v>
      </c>
      <c r="G228">
        <v>22000</v>
      </c>
      <c r="H228" s="4">
        <v>0.15</v>
      </c>
      <c r="I228" s="6">
        <v>74800</v>
      </c>
      <c r="J228" s="6">
        <v>11440</v>
      </c>
      <c r="K228" t="s">
        <v>17</v>
      </c>
      <c r="L228" t="s">
        <v>18</v>
      </c>
      <c r="M228" t="s">
        <v>25</v>
      </c>
      <c r="N228" t="s">
        <v>20</v>
      </c>
    </row>
    <row r="229" spans="1:14" x14ac:dyDescent="0.3">
      <c r="A229">
        <v>1228</v>
      </c>
      <c r="B229" s="3">
        <v>46167</v>
      </c>
      <c r="C229" t="s">
        <v>50</v>
      </c>
      <c r="D229" t="s">
        <v>75</v>
      </c>
      <c r="E229" t="s">
        <v>40</v>
      </c>
      <c r="F229" s="5">
        <v>5</v>
      </c>
      <c r="G229">
        <v>180</v>
      </c>
      <c r="H229" s="4">
        <v>0.15</v>
      </c>
      <c r="I229" s="6">
        <v>765</v>
      </c>
      <c r="J229" s="6">
        <v>117</v>
      </c>
      <c r="K229" t="s">
        <v>67</v>
      </c>
      <c r="L229" t="s">
        <v>58</v>
      </c>
      <c r="M229" t="s">
        <v>25</v>
      </c>
      <c r="N229" t="s">
        <v>37</v>
      </c>
    </row>
    <row r="230" spans="1:14" x14ac:dyDescent="0.3">
      <c r="A230">
        <v>1229</v>
      </c>
      <c r="B230" s="3">
        <v>46091</v>
      </c>
      <c r="C230" t="s">
        <v>85</v>
      </c>
      <c r="D230" t="s">
        <v>51</v>
      </c>
      <c r="E230" t="s">
        <v>32</v>
      </c>
      <c r="F230" s="5">
        <v>6</v>
      </c>
      <c r="G230">
        <v>9000</v>
      </c>
      <c r="H230" s="4">
        <v>0.1</v>
      </c>
      <c r="I230" s="6">
        <v>48600</v>
      </c>
      <c r="J230" s="6">
        <v>9720</v>
      </c>
      <c r="K230" t="s">
        <v>55</v>
      </c>
      <c r="L230" t="s">
        <v>24</v>
      </c>
      <c r="M230" t="s">
        <v>43</v>
      </c>
      <c r="N230" t="s">
        <v>20</v>
      </c>
    </row>
    <row r="231" spans="1:14" x14ac:dyDescent="0.3">
      <c r="A231">
        <v>1230</v>
      </c>
      <c r="B231" s="3">
        <v>46122</v>
      </c>
      <c r="C231" t="s">
        <v>176</v>
      </c>
      <c r="D231" t="s">
        <v>31</v>
      </c>
      <c r="E231" t="s">
        <v>32</v>
      </c>
      <c r="F231" s="5">
        <v>5</v>
      </c>
      <c r="G231">
        <v>12000</v>
      </c>
      <c r="H231" s="4">
        <v>0.1</v>
      </c>
      <c r="I231" s="6">
        <v>54000</v>
      </c>
      <c r="J231" s="6">
        <v>10800</v>
      </c>
      <c r="K231" t="s">
        <v>57</v>
      </c>
      <c r="L231" t="s">
        <v>58</v>
      </c>
      <c r="M231" t="s">
        <v>19</v>
      </c>
      <c r="N231" t="s">
        <v>59</v>
      </c>
    </row>
    <row r="232" spans="1:14" x14ac:dyDescent="0.3">
      <c r="A232">
        <v>1231</v>
      </c>
      <c r="B232" s="3">
        <v>46083</v>
      </c>
      <c r="C232" t="s">
        <v>68</v>
      </c>
      <c r="D232" t="s">
        <v>45</v>
      </c>
      <c r="E232" t="s">
        <v>16</v>
      </c>
      <c r="F232" s="5">
        <v>1</v>
      </c>
      <c r="G232">
        <v>2500</v>
      </c>
      <c r="H232" s="4">
        <v>0.15</v>
      </c>
      <c r="I232" s="6">
        <v>2125</v>
      </c>
      <c r="J232" s="6">
        <v>325</v>
      </c>
      <c r="K232" t="s">
        <v>78</v>
      </c>
      <c r="L232" t="s">
        <v>36</v>
      </c>
      <c r="M232" t="s">
        <v>25</v>
      </c>
      <c r="N232" t="s">
        <v>29</v>
      </c>
    </row>
    <row r="233" spans="1:14" x14ac:dyDescent="0.3">
      <c r="A233">
        <v>1232</v>
      </c>
      <c r="B233" s="3">
        <v>46283</v>
      </c>
      <c r="C233" t="s">
        <v>84</v>
      </c>
      <c r="D233" t="s">
        <v>39</v>
      </c>
      <c r="E233" t="s">
        <v>40</v>
      </c>
      <c r="F233" s="5">
        <v>5</v>
      </c>
      <c r="G233">
        <v>120</v>
      </c>
      <c r="H233" s="4">
        <v>0</v>
      </c>
      <c r="I233" s="6">
        <v>600</v>
      </c>
      <c r="J233" s="6">
        <v>168</v>
      </c>
      <c r="K233" t="s">
        <v>23</v>
      </c>
      <c r="L233" t="s">
        <v>24</v>
      </c>
      <c r="M233" t="s">
        <v>19</v>
      </c>
      <c r="N233" t="s">
        <v>59</v>
      </c>
    </row>
    <row r="234" spans="1:14" x14ac:dyDescent="0.3">
      <c r="A234">
        <v>1233</v>
      </c>
      <c r="B234" s="3">
        <v>46265</v>
      </c>
      <c r="C234" t="s">
        <v>181</v>
      </c>
      <c r="D234" t="s">
        <v>28</v>
      </c>
      <c r="E234" t="s">
        <v>16</v>
      </c>
      <c r="F234" s="5">
        <v>4</v>
      </c>
      <c r="G234">
        <v>16000</v>
      </c>
      <c r="H234" s="4">
        <v>0.05</v>
      </c>
      <c r="I234" s="6">
        <v>60800</v>
      </c>
      <c r="J234" s="6">
        <v>14720</v>
      </c>
      <c r="K234" t="s">
        <v>35</v>
      </c>
      <c r="L234" t="s">
        <v>36</v>
      </c>
      <c r="M234" t="s">
        <v>43</v>
      </c>
      <c r="N234" t="s">
        <v>26</v>
      </c>
    </row>
    <row r="235" spans="1:14" x14ac:dyDescent="0.3">
      <c r="A235">
        <v>1234</v>
      </c>
      <c r="B235" s="3">
        <v>46186</v>
      </c>
      <c r="C235" t="s">
        <v>68</v>
      </c>
      <c r="D235" t="s">
        <v>45</v>
      </c>
      <c r="E235" t="s">
        <v>16</v>
      </c>
      <c r="F235" s="5">
        <v>4</v>
      </c>
      <c r="G235">
        <v>2500</v>
      </c>
      <c r="H235" s="4">
        <v>0.1</v>
      </c>
      <c r="I235" s="6">
        <v>9000</v>
      </c>
      <c r="J235" s="6">
        <v>1800</v>
      </c>
      <c r="K235" t="s">
        <v>35</v>
      </c>
      <c r="L235" t="s">
        <v>36</v>
      </c>
      <c r="M235" t="s">
        <v>19</v>
      </c>
      <c r="N235" t="s">
        <v>26</v>
      </c>
    </row>
    <row r="236" spans="1:14" x14ac:dyDescent="0.3">
      <c r="A236">
        <v>1235</v>
      </c>
      <c r="B236" s="3">
        <v>46176</v>
      </c>
      <c r="C236" t="s">
        <v>188</v>
      </c>
      <c r="D236" t="s">
        <v>75</v>
      </c>
      <c r="E236" t="s">
        <v>40</v>
      </c>
      <c r="F236" s="5">
        <v>1</v>
      </c>
      <c r="G236">
        <v>180</v>
      </c>
      <c r="H236" s="4">
        <v>0.1</v>
      </c>
      <c r="I236" s="6">
        <v>162</v>
      </c>
      <c r="J236" s="6">
        <v>32.4</v>
      </c>
      <c r="K236" t="s">
        <v>78</v>
      </c>
      <c r="L236" t="s">
        <v>36</v>
      </c>
      <c r="M236" t="s">
        <v>43</v>
      </c>
      <c r="N236" t="s">
        <v>26</v>
      </c>
    </row>
    <row r="237" spans="1:14" x14ac:dyDescent="0.3">
      <c r="A237">
        <v>1236</v>
      </c>
      <c r="B237" s="3">
        <v>46180</v>
      </c>
      <c r="C237" t="s">
        <v>49</v>
      </c>
      <c r="D237" t="s">
        <v>15</v>
      </c>
      <c r="E237" t="s">
        <v>16</v>
      </c>
      <c r="F237" s="5">
        <v>5</v>
      </c>
      <c r="G237">
        <v>55000</v>
      </c>
      <c r="H237" s="4">
        <v>0.15</v>
      </c>
      <c r="I237" s="6">
        <v>233750</v>
      </c>
      <c r="J237" s="6">
        <v>35750</v>
      </c>
      <c r="K237" t="s">
        <v>67</v>
      </c>
      <c r="L237" t="s">
        <v>58</v>
      </c>
      <c r="M237" t="s">
        <v>19</v>
      </c>
      <c r="N237" t="s">
        <v>20</v>
      </c>
    </row>
    <row r="238" spans="1:14" x14ac:dyDescent="0.3">
      <c r="A238">
        <v>1237</v>
      </c>
      <c r="B238" s="3">
        <v>46268</v>
      </c>
      <c r="C238" t="s">
        <v>56</v>
      </c>
      <c r="D238" t="s">
        <v>45</v>
      </c>
      <c r="E238" t="s">
        <v>16</v>
      </c>
      <c r="F238" s="5">
        <v>5</v>
      </c>
      <c r="G238">
        <v>2500</v>
      </c>
      <c r="H238" s="4">
        <v>0.15</v>
      </c>
      <c r="I238" s="6">
        <v>10625</v>
      </c>
      <c r="J238" s="6">
        <v>1625</v>
      </c>
      <c r="K238" t="s">
        <v>47</v>
      </c>
      <c r="L238" t="s">
        <v>18</v>
      </c>
      <c r="M238" t="s">
        <v>25</v>
      </c>
      <c r="N238" t="s">
        <v>26</v>
      </c>
    </row>
    <row r="239" spans="1:14" x14ac:dyDescent="0.3">
      <c r="A239">
        <v>1238</v>
      </c>
      <c r="B239" s="3">
        <v>46079</v>
      </c>
      <c r="C239" t="s">
        <v>163</v>
      </c>
      <c r="D239" t="s">
        <v>42</v>
      </c>
      <c r="E239" t="s">
        <v>16</v>
      </c>
      <c r="F239" s="5">
        <v>1</v>
      </c>
      <c r="G239">
        <v>14000</v>
      </c>
      <c r="H239" s="4">
        <v>0.15</v>
      </c>
      <c r="I239" s="6">
        <v>11900</v>
      </c>
      <c r="J239" s="6">
        <v>1820</v>
      </c>
      <c r="K239" t="s">
        <v>78</v>
      </c>
      <c r="L239" t="s">
        <v>36</v>
      </c>
      <c r="M239" t="s">
        <v>43</v>
      </c>
      <c r="N239" t="s">
        <v>29</v>
      </c>
    </row>
    <row r="240" spans="1:14" x14ac:dyDescent="0.3">
      <c r="A240">
        <v>1239</v>
      </c>
      <c r="B240" s="3">
        <v>46233</v>
      </c>
      <c r="C240" t="s">
        <v>83</v>
      </c>
      <c r="D240" t="s">
        <v>28</v>
      </c>
      <c r="E240" t="s">
        <v>16</v>
      </c>
      <c r="F240" s="5">
        <v>5</v>
      </c>
      <c r="G240">
        <v>16000</v>
      </c>
      <c r="H240" s="4">
        <v>0.15</v>
      </c>
      <c r="I240" s="6">
        <v>68000</v>
      </c>
      <c r="J240" s="6">
        <v>10400</v>
      </c>
      <c r="K240" t="s">
        <v>23</v>
      </c>
      <c r="L240" t="s">
        <v>24</v>
      </c>
      <c r="M240" t="s">
        <v>19</v>
      </c>
      <c r="N240" t="s">
        <v>29</v>
      </c>
    </row>
    <row r="241" spans="1:14" x14ac:dyDescent="0.3">
      <c r="A241">
        <v>1240</v>
      </c>
      <c r="B241" s="3">
        <v>46189</v>
      </c>
      <c r="C241" t="s">
        <v>146</v>
      </c>
      <c r="D241" t="s">
        <v>75</v>
      </c>
      <c r="E241" t="s">
        <v>40</v>
      </c>
      <c r="F241" s="5">
        <v>5</v>
      </c>
      <c r="G241">
        <v>180</v>
      </c>
      <c r="H241" s="4">
        <v>0.15</v>
      </c>
      <c r="I241" s="6">
        <v>765</v>
      </c>
      <c r="J241" s="6">
        <v>117</v>
      </c>
      <c r="K241" t="s">
        <v>78</v>
      </c>
      <c r="L241" t="s">
        <v>36</v>
      </c>
      <c r="M241" t="s">
        <v>19</v>
      </c>
      <c r="N241" t="s">
        <v>59</v>
      </c>
    </row>
    <row r="242" spans="1:14" x14ac:dyDescent="0.3">
      <c r="A242">
        <v>1241</v>
      </c>
      <c r="B242" s="3">
        <v>46204</v>
      </c>
      <c r="C242" t="s">
        <v>72</v>
      </c>
      <c r="D242" t="s">
        <v>51</v>
      </c>
      <c r="E242" t="s">
        <v>32</v>
      </c>
      <c r="F242" s="5">
        <v>5</v>
      </c>
      <c r="G242">
        <v>9000</v>
      </c>
      <c r="H242" s="4">
        <v>0.15</v>
      </c>
      <c r="I242" s="6">
        <v>38250</v>
      </c>
      <c r="J242" s="6">
        <v>5850</v>
      </c>
      <c r="K242" t="s">
        <v>17</v>
      </c>
      <c r="L242" t="s">
        <v>18</v>
      </c>
      <c r="M242" t="s">
        <v>19</v>
      </c>
      <c r="N242" t="s">
        <v>59</v>
      </c>
    </row>
    <row r="243" spans="1:14" x14ac:dyDescent="0.3">
      <c r="A243">
        <v>1242</v>
      </c>
      <c r="B243" s="3">
        <v>46138</v>
      </c>
      <c r="C243" t="s">
        <v>189</v>
      </c>
      <c r="D243" t="s">
        <v>51</v>
      </c>
      <c r="E243" t="s">
        <v>32</v>
      </c>
      <c r="F243" s="5">
        <v>3</v>
      </c>
      <c r="G243">
        <v>9000</v>
      </c>
      <c r="H243" s="4">
        <v>0.05</v>
      </c>
      <c r="I243" s="6">
        <v>25650</v>
      </c>
      <c r="J243" s="6">
        <v>6210</v>
      </c>
      <c r="K243" t="s">
        <v>61</v>
      </c>
      <c r="L243" t="s">
        <v>24</v>
      </c>
      <c r="M243" t="s">
        <v>43</v>
      </c>
      <c r="N243" t="s">
        <v>26</v>
      </c>
    </row>
    <row r="244" spans="1:14" x14ac:dyDescent="0.3">
      <c r="A244">
        <v>1243</v>
      </c>
      <c r="B244" s="3">
        <v>46163</v>
      </c>
      <c r="C244" t="s">
        <v>190</v>
      </c>
      <c r="D244" t="s">
        <v>51</v>
      </c>
      <c r="E244" t="s">
        <v>32</v>
      </c>
      <c r="F244" s="5">
        <v>1</v>
      </c>
      <c r="G244">
        <v>9000</v>
      </c>
      <c r="H244" s="4">
        <v>0.15</v>
      </c>
      <c r="I244" s="6">
        <v>7650</v>
      </c>
      <c r="J244" s="6">
        <v>1170</v>
      </c>
      <c r="K244" t="s">
        <v>55</v>
      </c>
      <c r="L244" t="s">
        <v>24</v>
      </c>
      <c r="M244" t="s">
        <v>43</v>
      </c>
      <c r="N244" t="s">
        <v>20</v>
      </c>
    </row>
    <row r="245" spans="1:14" x14ac:dyDescent="0.3">
      <c r="A245">
        <v>1244</v>
      </c>
      <c r="B245" s="3">
        <v>46170</v>
      </c>
      <c r="C245" t="s">
        <v>86</v>
      </c>
      <c r="D245" t="s">
        <v>34</v>
      </c>
      <c r="E245" t="s">
        <v>16</v>
      </c>
      <c r="F245" s="5">
        <v>3</v>
      </c>
      <c r="G245">
        <v>22000</v>
      </c>
      <c r="H245" s="4">
        <v>0.15</v>
      </c>
      <c r="I245" s="6">
        <v>56100</v>
      </c>
      <c r="J245" s="6">
        <v>8580</v>
      </c>
      <c r="K245" t="s">
        <v>67</v>
      </c>
      <c r="L245" t="s">
        <v>58</v>
      </c>
      <c r="M245" t="s">
        <v>25</v>
      </c>
      <c r="N245" t="s">
        <v>29</v>
      </c>
    </row>
    <row r="246" spans="1:14" x14ac:dyDescent="0.3">
      <c r="A246">
        <v>1245</v>
      </c>
      <c r="B246" s="3">
        <v>46161</v>
      </c>
      <c r="C246" t="s">
        <v>191</v>
      </c>
      <c r="D246" t="s">
        <v>28</v>
      </c>
      <c r="E246" t="s">
        <v>16</v>
      </c>
      <c r="F246" s="5">
        <v>6</v>
      </c>
      <c r="G246">
        <v>16000</v>
      </c>
      <c r="H246" s="4">
        <v>0.1</v>
      </c>
      <c r="I246" s="6">
        <v>86400</v>
      </c>
      <c r="J246" s="6">
        <v>17280</v>
      </c>
      <c r="K246" t="s">
        <v>47</v>
      </c>
      <c r="L246" t="s">
        <v>18</v>
      </c>
      <c r="M246" t="s">
        <v>25</v>
      </c>
      <c r="N246" t="s">
        <v>20</v>
      </c>
    </row>
    <row r="247" spans="1:14" x14ac:dyDescent="0.3">
      <c r="A247">
        <v>1246</v>
      </c>
      <c r="B247" s="3">
        <v>46294</v>
      </c>
      <c r="C247" t="s">
        <v>41</v>
      </c>
      <c r="D247" t="s">
        <v>42</v>
      </c>
      <c r="E247" t="s">
        <v>16</v>
      </c>
      <c r="F247" s="5">
        <v>6</v>
      </c>
      <c r="G247">
        <v>14000</v>
      </c>
      <c r="H247" s="4">
        <v>0.05</v>
      </c>
      <c r="I247" s="6">
        <v>79800</v>
      </c>
      <c r="J247" s="6">
        <v>19320</v>
      </c>
      <c r="K247" t="s">
        <v>23</v>
      </c>
      <c r="L247" t="s">
        <v>24</v>
      </c>
      <c r="M247" t="s">
        <v>43</v>
      </c>
      <c r="N247" t="s">
        <v>37</v>
      </c>
    </row>
    <row r="248" spans="1:14" x14ac:dyDescent="0.3">
      <c r="A248">
        <v>1247</v>
      </c>
      <c r="B248" s="3">
        <v>46074</v>
      </c>
      <c r="C248" t="s">
        <v>49</v>
      </c>
      <c r="D248" t="s">
        <v>45</v>
      </c>
      <c r="E248" t="s">
        <v>16</v>
      </c>
      <c r="F248" s="5">
        <v>1</v>
      </c>
      <c r="G248">
        <v>2500</v>
      </c>
      <c r="H248" s="4">
        <v>0.05</v>
      </c>
      <c r="I248" s="6">
        <v>2375</v>
      </c>
      <c r="J248" s="6">
        <v>575</v>
      </c>
      <c r="K248" t="s">
        <v>55</v>
      </c>
      <c r="L248" t="s">
        <v>24</v>
      </c>
      <c r="M248" t="s">
        <v>43</v>
      </c>
      <c r="N248" t="s">
        <v>29</v>
      </c>
    </row>
    <row r="249" spans="1:14" x14ac:dyDescent="0.3">
      <c r="A249">
        <v>1248</v>
      </c>
      <c r="B249" s="3">
        <v>46170</v>
      </c>
      <c r="C249" t="s">
        <v>184</v>
      </c>
      <c r="D249" t="s">
        <v>31</v>
      </c>
      <c r="E249" t="s">
        <v>32</v>
      </c>
      <c r="F249" s="5">
        <v>3</v>
      </c>
      <c r="G249">
        <v>12000</v>
      </c>
      <c r="H249" s="4">
        <v>0</v>
      </c>
      <c r="I249" s="6">
        <v>36000</v>
      </c>
      <c r="J249" s="6">
        <v>10080</v>
      </c>
      <c r="K249" t="s">
        <v>57</v>
      </c>
      <c r="L249" t="s">
        <v>58</v>
      </c>
      <c r="M249" t="s">
        <v>19</v>
      </c>
      <c r="N249" t="s">
        <v>20</v>
      </c>
    </row>
    <row r="250" spans="1:14" x14ac:dyDescent="0.3">
      <c r="A250">
        <v>1249</v>
      </c>
      <c r="B250" s="3">
        <v>46112</v>
      </c>
      <c r="C250" t="s">
        <v>192</v>
      </c>
      <c r="D250" t="s">
        <v>39</v>
      </c>
      <c r="E250" t="s">
        <v>40</v>
      </c>
      <c r="F250" s="5">
        <v>2</v>
      </c>
      <c r="G250">
        <v>120</v>
      </c>
      <c r="H250" s="4">
        <v>0</v>
      </c>
      <c r="I250" s="6">
        <v>240</v>
      </c>
      <c r="J250" s="6">
        <v>67.2</v>
      </c>
      <c r="K250" t="s">
        <v>55</v>
      </c>
      <c r="L250" t="s">
        <v>24</v>
      </c>
      <c r="M250" t="s">
        <v>19</v>
      </c>
      <c r="N250" t="s">
        <v>59</v>
      </c>
    </row>
    <row r="251" spans="1:14" x14ac:dyDescent="0.3">
      <c r="A251">
        <v>1250</v>
      </c>
      <c r="B251" s="3">
        <v>46042</v>
      </c>
      <c r="C251" t="s">
        <v>120</v>
      </c>
      <c r="D251" t="s">
        <v>15</v>
      </c>
      <c r="E251" t="s">
        <v>16</v>
      </c>
      <c r="F251" s="5">
        <v>3</v>
      </c>
      <c r="G251">
        <v>55000</v>
      </c>
      <c r="H251" s="4">
        <v>0</v>
      </c>
      <c r="I251" s="6">
        <v>165000</v>
      </c>
      <c r="J251" s="6">
        <v>46200</v>
      </c>
      <c r="K251" t="s">
        <v>78</v>
      </c>
      <c r="L251" t="s">
        <v>36</v>
      </c>
      <c r="M251" t="s">
        <v>19</v>
      </c>
      <c r="N251" t="s">
        <v>26</v>
      </c>
    </row>
    <row r="252" spans="1:14" x14ac:dyDescent="0.3">
      <c r="A252">
        <v>1251</v>
      </c>
      <c r="B252" s="3">
        <v>46291</v>
      </c>
      <c r="C252" t="s">
        <v>172</v>
      </c>
      <c r="D252" t="s">
        <v>75</v>
      </c>
      <c r="E252" t="s">
        <v>40</v>
      </c>
      <c r="F252" s="5">
        <v>2</v>
      </c>
      <c r="G252">
        <v>180</v>
      </c>
      <c r="H252" s="4">
        <v>0.15</v>
      </c>
      <c r="I252" s="6">
        <v>306</v>
      </c>
      <c r="J252" s="6">
        <v>46.8</v>
      </c>
      <c r="K252" t="s">
        <v>67</v>
      </c>
      <c r="L252" t="s">
        <v>58</v>
      </c>
      <c r="M252" t="s">
        <v>43</v>
      </c>
      <c r="N252" t="s">
        <v>29</v>
      </c>
    </row>
    <row r="253" spans="1:14" x14ac:dyDescent="0.3">
      <c r="A253">
        <v>1252</v>
      </c>
      <c r="B253" s="3">
        <v>46257</v>
      </c>
      <c r="C253" t="s">
        <v>127</v>
      </c>
      <c r="D253" t="s">
        <v>51</v>
      </c>
      <c r="E253" t="s">
        <v>32</v>
      </c>
      <c r="F253" s="5">
        <v>6</v>
      </c>
      <c r="G253">
        <v>9000</v>
      </c>
      <c r="H253" s="4">
        <v>0.05</v>
      </c>
      <c r="I253" s="6">
        <v>51300</v>
      </c>
      <c r="J253" s="6">
        <v>12420</v>
      </c>
      <c r="K253" t="s">
        <v>23</v>
      </c>
      <c r="L253" t="s">
        <v>24</v>
      </c>
      <c r="M253" t="s">
        <v>43</v>
      </c>
      <c r="N253" t="s">
        <v>26</v>
      </c>
    </row>
    <row r="254" spans="1:14" x14ac:dyDescent="0.3">
      <c r="A254">
        <v>1253</v>
      </c>
      <c r="B254" s="3">
        <v>46121</v>
      </c>
      <c r="C254" t="s">
        <v>181</v>
      </c>
      <c r="D254" t="s">
        <v>45</v>
      </c>
      <c r="E254" t="s">
        <v>16</v>
      </c>
      <c r="F254" s="5">
        <v>5</v>
      </c>
      <c r="G254">
        <v>2500</v>
      </c>
      <c r="H254" s="4">
        <v>0.15</v>
      </c>
      <c r="I254" s="6">
        <v>10625</v>
      </c>
      <c r="J254" s="6">
        <v>1625</v>
      </c>
      <c r="K254" t="s">
        <v>55</v>
      </c>
      <c r="L254" t="s">
        <v>24</v>
      </c>
      <c r="M254" t="s">
        <v>25</v>
      </c>
      <c r="N254" t="s">
        <v>37</v>
      </c>
    </row>
    <row r="255" spans="1:14" x14ac:dyDescent="0.3">
      <c r="A255">
        <v>1254</v>
      </c>
      <c r="B255" s="3">
        <v>46071</v>
      </c>
      <c r="C255" t="s">
        <v>72</v>
      </c>
      <c r="D255" t="s">
        <v>45</v>
      </c>
      <c r="E255" t="s">
        <v>16</v>
      </c>
      <c r="F255" s="5">
        <v>2</v>
      </c>
      <c r="G255">
        <v>2500</v>
      </c>
      <c r="H255" s="4">
        <v>0.15</v>
      </c>
      <c r="I255" s="6">
        <v>4250</v>
      </c>
      <c r="J255" s="6">
        <v>650</v>
      </c>
      <c r="K255" t="s">
        <v>78</v>
      </c>
      <c r="L255" t="s">
        <v>36</v>
      </c>
      <c r="M255" t="s">
        <v>43</v>
      </c>
      <c r="N255" t="s">
        <v>37</v>
      </c>
    </row>
    <row r="256" spans="1:14" x14ac:dyDescent="0.3">
      <c r="A256">
        <v>1255</v>
      </c>
      <c r="B256" s="3">
        <v>46143</v>
      </c>
      <c r="C256" t="s">
        <v>140</v>
      </c>
      <c r="D256" t="s">
        <v>75</v>
      </c>
      <c r="E256" t="s">
        <v>40</v>
      </c>
      <c r="F256" s="5">
        <v>3</v>
      </c>
      <c r="G256">
        <v>180</v>
      </c>
      <c r="H256" s="4">
        <v>0.1</v>
      </c>
      <c r="I256" s="6">
        <v>486</v>
      </c>
      <c r="J256" s="6">
        <v>97.2</v>
      </c>
      <c r="K256" t="s">
        <v>67</v>
      </c>
      <c r="L256" t="s">
        <v>58</v>
      </c>
      <c r="M256" t="s">
        <v>43</v>
      </c>
      <c r="N256" t="s">
        <v>59</v>
      </c>
    </row>
    <row r="257" spans="1:14" x14ac:dyDescent="0.3">
      <c r="A257">
        <v>1256</v>
      </c>
      <c r="B257" s="3">
        <v>46143</v>
      </c>
      <c r="C257" t="s">
        <v>117</v>
      </c>
      <c r="D257" t="s">
        <v>15</v>
      </c>
      <c r="E257" t="s">
        <v>16</v>
      </c>
      <c r="F257" s="5">
        <v>6</v>
      </c>
      <c r="G257">
        <v>55000</v>
      </c>
      <c r="H257" s="4">
        <v>0</v>
      </c>
      <c r="I257" s="6">
        <v>330000</v>
      </c>
      <c r="J257" s="6">
        <v>92400</v>
      </c>
      <c r="K257" t="s">
        <v>61</v>
      </c>
      <c r="L257" t="s">
        <v>24</v>
      </c>
      <c r="M257" t="s">
        <v>43</v>
      </c>
      <c r="N257" t="s">
        <v>26</v>
      </c>
    </row>
    <row r="258" spans="1:14" x14ac:dyDescent="0.3">
      <c r="A258">
        <v>1257</v>
      </c>
      <c r="B258" s="3">
        <v>46182</v>
      </c>
      <c r="C258" t="s">
        <v>94</v>
      </c>
      <c r="D258" t="s">
        <v>34</v>
      </c>
      <c r="E258" t="s">
        <v>16</v>
      </c>
      <c r="F258" s="5">
        <v>6</v>
      </c>
      <c r="G258">
        <v>22000</v>
      </c>
      <c r="H258" s="4">
        <v>0.1</v>
      </c>
      <c r="I258" s="6">
        <v>118800</v>
      </c>
      <c r="J258" s="6">
        <v>23760</v>
      </c>
      <c r="K258" t="s">
        <v>78</v>
      </c>
      <c r="L258" t="s">
        <v>36</v>
      </c>
      <c r="M258" t="s">
        <v>25</v>
      </c>
      <c r="N258" t="s">
        <v>29</v>
      </c>
    </row>
    <row r="259" spans="1:14" x14ac:dyDescent="0.3">
      <c r="A259">
        <v>1258</v>
      </c>
      <c r="B259" s="3">
        <v>46267</v>
      </c>
      <c r="C259" t="s">
        <v>118</v>
      </c>
      <c r="D259" t="s">
        <v>45</v>
      </c>
      <c r="E259" t="s">
        <v>16</v>
      </c>
      <c r="F259" s="5">
        <v>4</v>
      </c>
      <c r="G259">
        <v>2500</v>
      </c>
      <c r="H259" s="4">
        <v>0.1</v>
      </c>
      <c r="I259" s="6">
        <v>9000</v>
      </c>
      <c r="J259" s="6">
        <v>1800</v>
      </c>
      <c r="K259" t="s">
        <v>55</v>
      </c>
      <c r="L259" t="s">
        <v>24</v>
      </c>
      <c r="M259" t="s">
        <v>19</v>
      </c>
      <c r="N259" t="s">
        <v>29</v>
      </c>
    </row>
    <row r="260" spans="1:14" x14ac:dyDescent="0.3">
      <c r="A260">
        <v>1259</v>
      </c>
      <c r="B260" s="3">
        <v>46149</v>
      </c>
      <c r="C260" t="s">
        <v>83</v>
      </c>
      <c r="D260" t="s">
        <v>22</v>
      </c>
      <c r="E260" t="s">
        <v>16</v>
      </c>
      <c r="F260" s="5">
        <v>1</v>
      </c>
      <c r="G260">
        <v>1800</v>
      </c>
      <c r="H260" s="4">
        <v>0.15</v>
      </c>
      <c r="I260" s="6">
        <v>1530</v>
      </c>
      <c r="J260" s="6">
        <v>234</v>
      </c>
      <c r="K260" t="s">
        <v>52</v>
      </c>
      <c r="L260" t="s">
        <v>24</v>
      </c>
      <c r="M260" t="s">
        <v>25</v>
      </c>
      <c r="N260" t="s">
        <v>26</v>
      </c>
    </row>
    <row r="261" spans="1:14" x14ac:dyDescent="0.3">
      <c r="A261">
        <v>1260</v>
      </c>
      <c r="B261" s="3">
        <v>46080</v>
      </c>
      <c r="C261" t="s">
        <v>50</v>
      </c>
      <c r="D261" t="s">
        <v>15</v>
      </c>
      <c r="E261" t="s">
        <v>16</v>
      </c>
      <c r="F261" s="5">
        <v>5</v>
      </c>
      <c r="G261">
        <v>55000</v>
      </c>
      <c r="H261" s="4">
        <v>0.05</v>
      </c>
      <c r="I261" s="6">
        <v>261250</v>
      </c>
      <c r="J261" s="6">
        <v>63250</v>
      </c>
      <c r="K261" t="s">
        <v>35</v>
      </c>
      <c r="L261" t="s">
        <v>36</v>
      </c>
      <c r="M261" t="s">
        <v>25</v>
      </c>
      <c r="N261" t="s">
        <v>59</v>
      </c>
    </row>
    <row r="262" spans="1:14" x14ac:dyDescent="0.3">
      <c r="A262">
        <v>1261</v>
      </c>
      <c r="B262" s="3">
        <v>46289</v>
      </c>
      <c r="C262" t="s">
        <v>193</v>
      </c>
      <c r="D262" t="s">
        <v>75</v>
      </c>
      <c r="E262" t="s">
        <v>40</v>
      </c>
      <c r="F262" s="5">
        <v>1</v>
      </c>
      <c r="G262">
        <v>180</v>
      </c>
      <c r="H262" s="4">
        <v>0.05</v>
      </c>
      <c r="I262" s="6">
        <v>171</v>
      </c>
      <c r="J262" s="6">
        <v>41.4</v>
      </c>
      <c r="K262" t="s">
        <v>35</v>
      </c>
      <c r="L262" t="s">
        <v>36</v>
      </c>
      <c r="M262" t="s">
        <v>19</v>
      </c>
      <c r="N262" t="s">
        <v>37</v>
      </c>
    </row>
    <row r="263" spans="1:14" x14ac:dyDescent="0.3">
      <c r="A263">
        <v>1262</v>
      </c>
      <c r="B263" s="3">
        <v>46051</v>
      </c>
      <c r="C263" t="s">
        <v>162</v>
      </c>
      <c r="D263" t="s">
        <v>75</v>
      </c>
      <c r="E263" t="s">
        <v>40</v>
      </c>
      <c r="F263" s="5">
        <v>2</v>
      </c>
      <c r="G263">
        <v>180</v>
      </c>
      <c r="H263" s="4">
        <v>0.15</v>
      </c>
      <c r="I263" s="6">
        <v>306</v>
      </c>
      <c r="J263" s="6">
        <v>46.8</v>
      </c>
      <c r="K263" t="s">
        <v>61</v>
      </c>
      <c r="L263" t="s">
        <v>24</v>
      </c>
      <c r="M263" t="s">
        <v>19</v>
      </c>
      <c r="N263" t="s">
        <v>37</v>
      </c>
    </row>
    <row r="264" spans="1:14" x14ac:dyDescent="0.3">
      <c r="A264">
        <v>1263</v>
      </c>
      <c r="B264" s="3">
        <v>46180</v>
      </c>
      <c r="C264" t="s">
        <v>194</v>
      </c>
      <c r="D264" t="s">
        <v>15</v>
      </c>
      <c r="E264" t="s">
        <v>16</v>
      </c>
      <c r="F264" s="5">
        <v>4</v>
      </c>
      <c r="G264">
        <v>55000</v>
      </c>
      <c r="H264" s="4">
        <v>0.1</v>
      </c>
      <c r="I264" s="6">
        <v>198000</v>
      </c>
      <c r="J264" s="6">
        <v>39600</v>
      </c>
      <c r="K264" t="s">
        <v>23</v>
      </c>
      <c r="L264" t="s">
        <v>24</v>
      </c>
      <c r="M264" t="s">
        <v>19</v>
      </c>
      <c r="N264" t="s">
        <v>20</v>
      </c>
    </row>
    <row r="265" spans="1:14" x14ac:dyDescent="0.3">
      <c r="A265">
        <v>1264</v>
      </c>
      <c r="B265" s="3">
        <v>46046</v>
      </c>
      <c r="C265" t="s">
        <v>126</v>
      </c>
      <c r="D265" t="s">
        <v>39</v>
      </c>
      <c r="E265" t="s">
        <v>40</v>
      </c>
      <c r="F265" s="5">
        <v>3</v>
      </c>
      <c r="G265">
        <v>120</v>
      </c>
      <c r="H265" s="4">
        <v>0</v>
      </c>
      <c r="I265" s="6">
        <v>360</v>
      </c>
      <c r="J265" s="6">
        <v>100.8</v>
      </c>
      <c r="K265" t="s">
        <v>52</v>
      </c>
      <c r="L265" t="s">
        <v>24</v>
      </c>
      <c r="M265" t="s">
        <v>43</v>
      </c>
      <c r="N265" t="s">
        <v>20</v>
      </c>
    </row>
    <row r="266" spans="1:14" x14ac:dyDescent="0.3">
      <c r="A266">
        <v>1265</v>
      </c>
      <c r="B266" s="3">
        <v>46169</v>
      </c>
      <c r="C266" t="s">
        <v>183</v>
      </c>
      <c r="D266" t="s">
        <v>39</v>
      </c>
      <c r="E266" t="s">
        <v>40</v>
      </c>
      <c r="F266" s="5">
        <v>2</v>
      </c>
      <c r="G266">
        <v>120</v>
      </c>
      <c r="H266" s="4">
        <v>0.05</v>
      </c>
      <c r="I266" s="6">
        <v>228</v>
      </c>
      <c r="J266" s="6">
        <v>55.2</v>
      </c>
      <c r="K266" t="s">
        <v>55</v>
      </c>
      <c r="L266" t="s">
        <v>24</v>
      </c>
      <c r="M266" t="s">
        <v>43</v>
      </c>
      <c r="N266" t="s">
        <v>37</v>
      </c>
    </row>
    <row r="267" spans="1:14" x14ac:dyDescent="0.3">
      <c r="A267">
        <v>1266</v>
      </c>
      <c r="B267" s="3">
        <v>46215</v>
      </c>
      <c r="C267" t="s">
        <v>119</v>
      </c>
      <c r="D267" t="s">
        <v>34</v>
      </c>
      <c r="E267" t="s">
        <v>16</v>
      </c>
      <c r="F267" s="5">
        <v>6</v>
      </c>
      <c r="G267">
        <v>22000</v>
      </c>
      <c r="H267" s="4">
        <v>0.05</v>
      </c>
      <c r="I267" s="6">
        <v>125400</v>
      </c>
      <c r="J267" s="6">
        <v>30360</v>
      </c>
      <c r="K267" t="s">
        <v>78</v>
      </c>
      <c r="L267" t="s">
        <v>36</v>
      </c>
      <c r="M267" t="s">
        <v>19</v>
      </c>
      <c r="N267" t="s">
        <v>37</v>
      </c>
    </row>
    <row r="268" spans="1:14" x14ac:dyDescent="0.3">
      <c r="A268">
        <v>1267</v>
      </c>
      <c r="B268" s="3">
        <v>46293</v>
      </c>
      <c r="C268" t="s">
        <v>108</v>
      </c>
      <c r="D268" t="s">
        <v>45</v>
      </c>
      <c r="E268" t="s">
        <v>16</v>
      </c>
      <c r="F268" s="5">
        <v>6</v>
      </c>
      <c r="G268">
        <v>2500</v>
      </c>
      <c r="H268" s="4">
        <v>0.05</v>
      </c>
      <c r="I268" s="6">
        <v>14250</v>
      </c>
      <c r="J268" s="6">
        <v>3450</v>
      </c>
      <c r="K268" t="s">
        <v>23</v>
      </c>
      <c r="L268" t="s">
        <v>24</v>
      </c>
      <c r="M268" t="s">
        <v>43</v>
      </c>
      <c r="N268" t="s">
        <v>37</v>
      </c>
    </row>
    <row r="269" spans="1:14" x14ac:dyDescent="0.3">
      <c r="A269">
        <v>1268</v>
      </c>
      <c r="B269" s="3">
        <v>46240</v>
      </c>
      <c r="C269" t="s">
        <v>164</v>
      </c>
      <c r="D269" t="s">
        <v>28</v>
      </c>
      <c r="E269" t="s">
        <v>16</v>
      </c>
      <c r="F269" s="5">
        <v>4</v>
      </c>
      <c r="G269">
        <v>16000</v>
      </c>
      <c r="H269" s="4">
        <v>0.05</v>
      </c>
      <c r="I269" s="6">
        <v>60800</v>
      </c>
      <c r="J269" s="6">
        <v>14720</v>
      </c>
      <c r="K269" t="s">
        <v>17</v>
      </c>
      <c r="L269" t="s">
        <v>18</v>
      </c>
      <c r="M269" t="s">
        <v>25</v>
      </c>
      <c r="N269" t="s">
        <v>59</v>
      </c>
    </row>
    <row r="270" spans="1:14" x14ac:dyDescent="0.3">
      <c r="A270">
        <v>1269</v>
      </c>
      <c r="B270" s="3">
        <v>46119</v>
      </c>
      <c r="C270" t="s">
        <v>173</v>
      </c>
      <c r="D270" t="s">
        <v>34</v>
      </c>
      <c r="E270" t="s">
        <v>16</v>
      </c>
      <c r="F270" s="5">
        <v>1</v>
      </c>
      <c r="G270">
        <v>22000</v>
      </c>
      <c r="H270" s="4">
        <v>0.15</v>
      </c>
      <c r="I270" s="6">
        <v>18700</v>
      </c>
      <c r="J270" s="6">
        <v>2860</v>
      </c>
      <c r="K270" t="s">
        <v>35</v>
      </c>
      <c r="L270" t="s">
        <v>36</v>
      </c>
      <c r="M270" t="s">
        <v>25</v>
      </c>
      <c r="N270" t="s">
        <v>29</v>
      </c>
    </row>
    <row r="271" spans="1:14" x14ac:dyDescent="0.3">
      <c r="A271">
        <v>1270</v>
      </c>
      <c r="B271" s="3">
        <v>46057</v>
      </c>
      <c r="C271" t="s">
        <v>195</v>
      </c>
      <c r="D271" t="s">
        <v>34</v>
      </c>
      <c r="E271" t="s">
        <v>16</v>
      </c>
      <c r="F271" s="5">
        <v>5</v>
      </c>
      <c r="G271">
        <v>22000</v>
      </c>
      <c r="H271" s="4">
        <v>0</v>
      </c>
      <c r="I271" s="6">
        <v>110000</v>
      </c>
      <c r="J271" s="6">
        <v>30800</v>
      </c>
      <c r="K271" t="s">
        <v>61</v>
      </c>
      <c r="L271" t="s">
        <v>24</v>
      </c>
      <c r="M271" t="s">
        <v>25</v>
      </c>
      <c r="N271" t="s">
        <v>20</v>
      </c>
    </row>
    <row r="272" spans="1:14" x14ac:dyDescent="0.3">
      <c r="A272">
        <v>1271</v>
      </c>
      <c r="B272" s="3">
        <v>46228</v>
      </c>
      <c r="C272" t="s">
        <v>53</v>
      </c>
      <c r="D272" t="s">
        <v>75</v>
      </c>
      <c r="E272" t="s">
        <v>40</v>
      </c>
      <c r="F272" s="5">
        <v>2</v>
      </c>
      <c r="G272">
        <v>180</v>
      </c>
      <c r="H272" s="4">
        <v>0.05</v>
      </c>
      <c r="I272" s="6">
        <v>342</v>
      </c>
      <c r="J272" s="6">
        <v>82.8</v>
      </c>
      <c r="K272" t="s">
        <v>23</v>
      </c>
      <c r="L272" t="s">
        <v>24</v>
      </c>
      <c r="M272" t="s">
        <v>25</v>
      </c>
      <c r="N272" t="s">
        <v>26</v>
      </c>
    </row>
    <row r="273" spans="1:14" x14ac:dyDescent="0.3">
      <c r="A273">
        <v>1272</v>
      </c>
      <c r="B273" s="3">
        <v>46186</v>
      </c>
      <c r="C273" t="s">
        <v>178</v>
      </c>
      <c r="D273" t="s">
        <v>22</v>
      </c>
      <c r="E273" t="s">
        <v>16</v>
      </c>
      <c r="F273" s="5">
        <v>5</v>
      </c>
      <c r="G273">
        <v>1800</v>
      </c>
      <c r="H273" s="4">
        <v>0.1</v>
      </c>
      <c r="I273" s="6">
        <v>8100</v>
      </c>
      <c r="J273" s="6">
        <v>1620</v>
      </c>
      <c r="K273" t="s">
        <v>17</v>
      </c>
      <c r="L273" t="s">
        <v>18</v>
      </c>
      <c r="M273" t="s">
        <v>19</v>
      </c>
      <c r="N273" t="s">
        <v>26</v>
      </c>
    </row>
    <row r="274" spans="1:14" x14ac:dyDescent="0.3">
      <c r="A274">
        <v>1273</v>
      </c>
      <c r="B274" s="3">
        <v>46136</v>
      </c>
      <c r="C274" t="s">
        <v>160</v>
      </c>
      <c r="D274" t="s">
        <v>39</v>
      </c>
      <c r="E274" t="s">
        <v>40</v>
      </c>
      <c r="F274" s="5">
        <v>3</v>
      </c>
      <c r="G274">
        <v>120</v>
      </c>
      <c r="H274" s="4">
        <v>0.1</v>
      </c>
      <c r="I274" s="6">
        <v>324</v>
      </c>
      <c r="J274" s="6">
        <v>64.8</v>
      </c>
      <c r="K274" t="s">
        <v>23</v>
      </c>
      <c r="L274" t="s">
        <v>24</v>
      </c>
      <c r="M274" t="s">
        <v>19</v>
      </c>
      <c r="N274" t="s">
        <v>37</v>
      </c>
    </row>
    <row r="275" spans="1:14" x14ac:dyDescent="0.3">
      <c r="A275">
        <v>1274</v>
      </c>
      <c r="B275" s="3">
        <v>46276</v>
      </c>
      <c r="C275" t="s">
        <v>189</v>
      </c>
      <c r="D275" t="s">
        <v>15</v>
      </c>
      <c r="E275" t="s">
        <v>16</v>
      </c>
      <c r="F275" s="5">
        <v>3</v>
      </c>
      <c r="G275">
        <v>55000</v>
      </c>
      <c r="H275" s="4">
        <v>0.15</v>
      </c>
      <c r="I275" s="6">
        <v>140250</v>
      </c>
      <c r="J275" s="6">
        <v>21450</v>
      </c>
      <c r="K275" t="s">
        <v>52</v>
      </c>
      <c r="L275" t="s">
        <v>24</v>
      </c>
      <c r="M275" t="s">
        <v>43</v>
      </c>
      <c r="N275" t="s">
        <v>29</v>
      </c>
    </row>
    <row r="276" spans="1:14" x14ac:dyDescent="0.3">
      <c r="A276">
        <v>1275</v>
      </c>
      <c r="B276" s="3">
        <v>46176</v>
      </c>
      <c r="C276" t="s">
        <v>14</v>
      </c>
      <c r="D276" t="s">
        <v>39</v>
      </c>
      <c r="E276" t="s">
        <v>40</v>
      </c>
      <c r="F276" s="5">
        <v>2</v>
      </c>
      <c r="G276">
        <v>120</v>
      </c>
      <c r="H276" s="4">
        <v>0.15</v>
      </c>
      <c r="I276" s="6">
        <v>204</v>
      </c>
      <c r="J276" s="6">
        <v>31.2</v>
      </c>
      <c r="K276" t="s">
        <v>17</v>
      </c>
      <c r="L276" t="s">
        <v>18</v>
      </c>
      <c r="M276" t="s">
        <v>19</v>
      </c>
      <c r="N276" t="s">
        <v>29</v>
      </c>
    </row>
    <row r="277" spans="1:14" x14ac:dyDescent="0.3">
      <c r="A277">
        <v>1276</v>
      </c>
      <c r="B277" s="3">
        <v>46260</v>
      </c>
      <c r="C277" t="s">
        <v>160</v>
      </c>
      <c r="D277" t="s">
        <v>15</v>
      </c>
      <c r="E277" t="s">
        <v>16</v>
      </c>
      <c r="F277" s="5">
        <v>5</v>
      </c>
      <c r="G277">
        <v>55000</v>
      </c>
      <c r="H277" s="4">
        <v>0.15</v>
      </c>
      <c r="I277" s="6">
        <v>233750</v>
      </c>
      <c r="J277" s="6">
        <v>35750</v>
      </c>
      <c r="K277" t="s">
        <v>55</v>
      </c>
      <c r="L277" t="s">
        <v>24</v>
      </c>
      <c r="M277" t="s">
        <v>43</v>
      </c>
      <c r="N277" t="s">
        <v>29</v>
      </c>
    </row>
    <row r="278" spans="1:14" x14ac:dyDescent="0.3">
      <c r="A278">
        <v>1277</v>
      </c>
      <c r="B278" s="3">
        <v>46153</v>
      </c>
      <c r="C278" t="s">
        <v>196</v>
      </c>
      <c r="D278" t="s">
        <v>42</v>
      </c>
      <c r="E278" t="s">
        <v>16</v>
      </c>
      <c r="F278" s="5">
        <v>3</v>
      </c>
      <c r="G278">
        <v>14000</v>
      </c>
      <c r="H278" s="4">
        <v>0</v>
      </c>
      <c r="I278" s="6">
        <v>42000</v>
      </c>
      <c r="J278" s="6">
        <v>11760</v>
      </c>
      <c r="K278" t="s">
        <v>61</v>
      </c>
      <c r="L278" t="s">
        <v>24</v>
      </c>
      <c r="M278" t="s">
        <v>19</v>
      </c>
      <c r="N278" t="s">
        <v>29</v>
      </c>
    </row>
    <row r="279" spans="1:14" x14ac:dyDescent="0.3">
      <c r="A279">
        <v>1278</v>
      </c>
      <c r="B279" s="3">
        <v>46049</v>
      </c>
      <c r="C279" t="s">
        <v>134</v>
      </c>
      <c r="D279" t="s">
        <v>51</v>
      </c>
      <c r="E279" t="s">
        <v>32</v>
      </c>
      <c r="F279" s="5">
        <v>4</v>
      </c>
      <c r="G279">
        <v>9000</v>
      </c>
      <c r="H279" s="4">
        <v>0</v>
      </c>
      <c r="I279" s="6">
        <v>36000</v>
      </c>
      <c r="J279" s="6">
        <v>10080</v>
      </c>
      <c r="K279" t="s">
        <v>57</v>
      </c>
      <c r="L279" t="s">
        <v>58</v>
      </c>
      <c r="M279" t="s">
        <v>43</v>
      </c>
      <c r="N279" t="s">
        <v>29</v>
      </c>
    </row>
    <row r="280" spans="1:14" x14ac:dyDescent="0.3">
      <c r="A280">
        <v>1279</v>
      </c>
      <c r="B280" s="3">
        <v>46193</v>
      </c>
      <c r="C280" t="s">
        <v>122</v>
      </c>
      <c r="D280" t="s">
        <v>51</v>
      </c>
      <c r="E280" t="s">
        <v>32</v>
      </c>
      <c r="F280" s="5">
        <v>1</v>
      </c>
      <c r="G280">
        <v>9000</v>
      </c>
      <c r="H280" s="4">
        <v>0.05</v>
      </c>
      <c r="I280" s="6">
        <v>8550</v>
      </c>
      <c r="J280" s="6">
        <v>2070</v>
      </c>
      <c r="K280" t="s">
        <v>17</v>
      </c>
      <c r="L280" t="s">
        <v>18</v>
      </c>
      <c r="M280" t="s">
        <v>19</v>
      </c>
      <c r="N280" t="s">
        <v>37</v>
      </c>
    </row>
    <row r="281" spans="1:14" x14ac:dyDescent="0.3">
      <c r="A281">
        <v>1280</v>
      </c>
      <c r="B281" s="3">
        <v>46147</v>
      </c>
      <c r="C281" t="s">
        <v>197</v>
      </c>
      <c r="D281" t="s">
        <v>22</v>
      </c>
      <c r="E281" t="s">
        <v>16</v>
      </c>
      <c r="F281" s="5">
        <v>6</v>
      </c>
      <c r="G281">
        <v>1800</v>
      </c>
      <c r="H281" s="4">
        <v>0.05</v>
      </c>
      <c r="I281" s="6">
        <v>10260</v>
      </c>
      <c r="J281" s="6">
        <v>2484</v>
      </c>
      <c r="K281" t="s">
        <v>55</v>
      </c>
      <c r="L281" t="s">
        <v>24</v>
      </c>
      <c r="M281" t="s">
        <v>43</v>
      </c>
      <c r="N281" t="s">
        <v>37</v>
      </c>
    </row>
    <row r="282" spans="1:14" x14ac:dyDescent="0.3">
      <c r="A282">
        <v>1281</v>
      </c>
      <c r="B282" s="3">
        <v>46261</v>
      </c>
      <c r="C282" t="s">
        <v>198</v>
      </c>
      <c r="D282" t="s">
        <v>28</v>
      </c>
      <c r="E282" t="s">
        <v>16</v>
      </c>
      <c r="F282" s="5">
        <v>6</v>
      </c>
      <c r="G282">
        <v>16000</v>
      </c>
      <c r="H282" s="4">
        <v>0.1</v>
      </c>
      <c r="I282" s="6">
        <v>86400</v>
      </c>
      <c r="J282" s="6">
        <v>17280</v>
      </c>
      <c r="K282" t="s">
        <v>67</v>
      </c>
      <c r="L282" t="s">
        <v>58</v>
      </c>
      <c r="M282" t="s">
        <v>19</v>
      </c>
      <c r="N282" t="s">
        <v>37</v>
      </c>
    </row>
    <row r="283" spans="1:14" x14ac:dyDescent="0.3">
      <c r="A283">
        <v>1282</v>
      </c>
      <c r="B283" s="3">
        <v>46261</v>
      </c>
      <c r="C283" t="s">
        <v>80</v>
      </c>
      <c r="D283" t="s">
        <v>34</v>
      </c>
      <c r="E283" t="s">
        <v>16</v>
      </c>
      <c r="F283" s="5">
        <v>6</v>
      </c>
      <c r="G283">
        <v>22000</v>
      </c>
      <c r="H283" s="4">
        <v>0.15</v>
      </c>
      <c r="I283" s="6">
        <v>112200</v>
      </c>
      <c r="J283" s="6">
        <v>17160</v>
      </c>
      <c r="K283" t="s">
        <v>78</v>
      </c>
      <c r="L283" t="s">
        <v>36</v>
      </c>
      <c r="M283" t="s">
        <v>43</v>
      </c>
      <c r="N283" t="s">
        <v>37</v>
      </c>
    </row>
    <row r="284" spans="1:14" x14ac:dyDescent="0.3">
      <c r="A284">
        <v>1283</v>
      </c>
      <c r="B284" s="3">
        <v>46046</v>
      </c>
      <c r="C284" t="s">
        <v>198</v>
      </c>
      <c r="D284" t="s">
        <v>22</v>
      </c>
      <c r="E284" t="s">
        <v>16</v>
      </c>
      <c r="F284" s="5">
        <v>2</v>
      </c>
      <c r="G284">
        <v>1800</v>
      </c>
      <c r="H284" s="4">
        <v>0.05</v>
      </c>
      <c r="I284" s="6">
        <v>3420</v>
      </c>
      <c r="J284" s="6">
        <v>828</v>
      </c>
      <c r="K284" t="s">
        <v>23</v>
      </c>
      <c r="L284" t="s">
        <v>24</v>
      </c>
      <c r="M284" t="s">
        <v>43</v>
      </c>
      <c r="N284" t="s">
        <v>29</v>
      </c>
    </row>
    <row r="285" spans="1:14" x14ac:dyDescent="0.3">
      <c r="A285">
        <v>1284</v>
      </c>
      <c r="B285" s="3">
        <v>46123</v>
      </c>
      <c r="C285" t="s">
        <v>199</v>
      </c>
      <c r="D285" t="s">
        <v>31</v>
      </c>
      <c r="E285" t="s">
        <v>32</v>
      </c>
      <c r="F285" s="5">
        <v>2</v>
      </c>
      <c r="G285">
        <v>12000</v>
      </c>
      <c r="H285" s="4">
        <v>0.15</v>
      </c>
      <c r="I285" s="6">
        <v>20400</v>
      </c>
      <c r="J285" s="6">
        <v>3120</v>
      </c>
      <c r="K285" t="s">
        <v>35</v>
      </c>
      <c r="L285" t="s">
        <v>36</v>
      </c>
      <c r="M285" t="s">
        <v>19</v>
      </c>
      <c r="N285" t="s">
        <v>59</v>
      </c>
    </row>
    <row r="286" spans="1:14" x14ac:dyDescent="0.3">
      <c r="A286">
        <v>1285</v>
      </c>
      <c r="B286" s="3">
        <v>46154</v>
      </c>
      <c r="C286" t="s">
        <v>200</v>
      </c>
      <c r="D286" t="s">
        <v>75</v>
      </c>
      <c r="E286" t="s">
        <v>40</v>
      </c>
      <c r="F286" s="5">
        <v>6</v>
      </c>
      <c r="G286">
        <v>180</v>
      </c>
      <c r="H286" s="4">
        <v>0.15</v>
      </c>
      <c r="I286" s="6">
        <v>918</v>
      </c>
      <c r="J286" s="6">
        <v>140.4</v>
      </c>
      <c r="K286" t="s">
        <v>61</v>
      </c>
      <c r="L286" t="s">
        <v>24</v>
      </c>
      <c r="M286" t="s">
        <v>25</v>
      </c>
      <c r="N286" t="s">
        <v>29</v>
      </c>
    </row>
    <row r="287" spans="1:14" x14ac:dyDescent="0.3">
      <c r="A287">
        <v>1286</v>
      </c>
      <c r="B287" s="3">
        <v>46273</v>
      </c>
      <c r="C287" t="s">
        <v>124</v>
      </c>
      <c r="D287" t="s">
        <v>45</v>
      </c>
      <c r="E287" t="s">
        <v>16</v>
      </c>
      <c r="F287" s="5">
        <v>5</v>
      </c>
      <c r="G287">
        <v>2500</v>
      </c>
      <c r="H287" s="4">
        <v>0</v>
      </c>
      <c r="I287" s="6">
        <v>12500</v>
      </c>
      <c r="J287" s="6">
        <v>3500</v>
      </c>
      <c r="K287" t="s">
        <v>52</v>
      </c>
      <c r="L287" t="s">
        <v>24</v>
      </c>
      <c r="M287" t="s">
        <v>19</v>
      </c>
      <c r="N287" t="s">
        <v>20</v>
      </c>
    </row>
    <row r="288" spans="1:14" x14ac:dyDescent="0.3">
      <c r="A288">
        <v>1287</v>
      </c>
      <c r="B288" s="3">
        <v>46026</v>
      </c>
      <c r="C288" t="s">
        <v>69</v>
      </c>
      <c r="D288" t="s">
        <v>39</v>
      </c>
      <c r="E288" t="s">
        <v>40</v>
      </c>
      <c r="F288" s="5">
        <v>2</v>
      </c>
      <c r="G288">
        <v>120</v>
      </c>
      <c r="H288" s="4">
        <v>0.05</v>
      </c>
      <c r="I288" s="6">
        <v>228</v>
      </c>
      <c r="J288" s="6">
        <v>55.2</v>
      </c>
      <c r="K288" t="s">
        <v>57</v>
      </c>
      <c r="L288" t="s">
        <v>58</v>
      </c>
      <c r="M288" t="s">
        <v>25</v>
      </c>
      <c r="N288" t="s">
        <v>29</v>
      </c>
    </row>
    <row r="289" spans="1:14" x14ac:dyDescent="0.3">
      <c r="A289">
        <v>1288</v>
      </c>
      <c r="B289" s="3">
        <v>46281</v>
      </c>
      <c r="C289" t="s">
        <v>100</v>
      </c>
      <c r="D289" t="s">
        <v>75</v>
      </c>
      <c r="E289" t="s">
        <v>40</v>
      </c>
      <c r="F289" s="5">
        <v>3</v>
      </c>
      <c r="G289">
        <v>180</v>
      </c>
      <c r="H289" s="4">
        <v>0</v>
      </c>
      <c r="I289" s="6">
        <v>540</v>
      </c>
      <c r="J289" s="6">
        <v>151.19999999999999</v>
      </c>
      <c r="K289" t="s">
        <v>35</v>
      </c>
      <c r="L289" t="s">
        <v>36</v>
      </c>
      <c r="M289" t="s">
        <v>19</v>
      </c>
      <c r="N289" t="s">
        <v>37</v>
      </c>
    </row>
    <row r="290" spans="1:14" x14ac:dyDescent="0.3">
      <c r="A290">
        <v>1289</v>
      </c>
      <c r="B290" s="3">
        <v>46031</v>
      </c>
      <c r="C290" t="s">
        <v>177</v>
      </c>
      <c r="D290" t="s">
        <v>15</v>
      </c>
      <c r="E290" t="s">
        <v>16</v>
      </c>
      <c r="F290" s="5">
        <v>5</v>
      </c>
      <c r="G290">
        <v>55000</v>
      </c>
      <c r="H290" s="4">
        <v>0.15</v>
      </c>
      <c r="I290" s="6">
        <v>233750</v>
      </c>
      <c r="J290" s="6">
        <v>35750</v>
      </c>
      <c r="K290" t="s">
        <v>23</v>
      </c>
      <c r="L290" t="s">
        <v>24</v>
      </c>
      <c r="M290" t="s">
        <v>19</v>
      </c>
      <c r="N290" t="s">
        <v>59</v>
      </c>
    </row>
    <row r="291" spans="1:14" x14ac:dyDescent="0.3">
      <c r="A291">
        <v>1290</v>
      </c>
      <c r="B291" s="3">
        <v>46031</v>
      </c>
      <c r="C291" t="s">
        <v>191</v>
      </c>
      <c r="D291" t="s">
        <v>28</v>
      </c>
      <c r="E291" t="s">
        <v>16</v>
      </c>
      <c r="F291" s="5">
        <v>6</v>
      </c>
      <c r="G291">
        <v>16000</v>
      </c>
      <c r="H291" s="4">
        <v>0.15</v>
      </c>
      <c r="I291" s="6">
        <v>81600</v>
      </c>
      <c r="J291" s="6">
        <v>12480</v>
      </c>
      <c r="K291" t="s">
        <v>47</v>
      </c>
      <c r="L291" t="s">
        <v>18</v>
      </c>
      <c r="M291" t="s">
        <v>19</v>
      </c>
      <c r="N291" t="s">
        <v>29</v>
      </c>
    </row>
    <row r="292" spans="1:14" x14ac:dyDescent="0.3">
      <c r="A292">
        <v>1291</v>
      </c>
      <c r="B292" s="3">
        <v>46146</v>
      </c>
      <c r="C292" t="s">
        <v>186</v>
      </c>
      <c r="D292" t="s">
        <v>42</v>
      </c>
      <c r="E292" t="s">
        <v>16</v>
      </c>
      <c r="F292" s="5">
        <v>5</v>
      </c>
      <c r="G292">
        <v>14000</v>
      </c>
      <c r="H292" s="4">
        <v>0.1</v>
      </c>
      <c r="I292" s="6">
        <v>63000</v>
      </c>
      <c r="J292" s="6">
        <v>12600</v>
      </c>
      <c r="K292" t="s">
        <v>78</v>
      </c>
      <c r="L292" t="s">
        <v>36</v>
      </c>
      <c r="M292" t="s">
        <v>25</v>
      </c>
      <c r="N292" t="s">
        <v>59</v>
      </c>
    </row>
    <row r="293" spans="1:14" x14ac:dyDescent="0.3">
      <c r="A293">
        <v>1292</v>
      </c>
      <c r="B293" s="3">
        <v>46230</v>
      </c>
      <c r="C293" t="s">
        <v>201</v>
      </c>
      <c r="D293" t="s">
        <v>75</v>
      </c>
      <c r="E293" t="s">
        <v>40</v>
      </c>
      <c r="F293" s="5">
        <v>5</v>
      </c>
      <c r="G293">
        <v>180</v>
      </c>
      <c r="H293" s="4">
        <v>0.05</v>
      </c>
      <c r="I293" s="6">
        <v>855</v>
      </c>
      <c r="J293" s="6">
        <v>207</v>
      </c>
      <c r="K293" t="s">
        <v>17</v>
      </c>
      <c r="L293" t="s">
        <v>18</v>
      </c>
      <c r="M293" t="s">
        <v>19</v>
      </c>
      <c r="N293" t="s">
        <v>20</v>
      </c>
    </row>
    <row r="294" spans="1:14" x14ac:dyDescent="0.3">
      <c r="A294">
        <v>1293</v>
      </c>
      <c r="B294" s="3">
        <v>46070</v>
      </c>
      <c r="C294" t="s">
        <v>70</v>
      </c>
      <c r="D294" t="s">
        <v>39</v>
      </c>
      <c r="E294" t="s">
        <v>40</v>
      </c>
      <c r="F294" s="5">
        <v>4</v>
      </c>
      <c r="G294">
        <v>120</v>
      </c>
      <c r="H294" s="4">
        <v>0.15</v>
      </c>
      <c r="I294" s="6">
        <v>408</v>
      </c>
      <c r="J294" s="6">
        <v>62.4</v>
      </c>
      <c r="K294" t="s">
        <v>52</v>
      </c>
      <c r="L294" t="s">
        <v>24</v>
      </c>
      <c r="M294" t="s">
        <v>19</v>
      </c>
      <c r="N294" t="s">
        <v>20</v>
      </c>
    </row>
    <row r="295" spans="1:14" x14ac:dyDescent="0.3">
      <c r="A295">
        <v>1294</v>
      </c>
      <c r="B295" s="3">
        <v>46110</v>
      </c>
      <c r="C295" t="s">
        <v>162</v>
      </c>
      <c r="D295" t="s">
        <v>34</v>
      </c>
      <c r="E295" t="s">
        <v>16</v>
      </c>
      <c r="F295" s="5">
        <v>4</v>
      </c>
      <c r="G295">
        <v>22000</v>
      </c>
      <c r="H295" s="4">
        <v>0.15</v>
      </c>
      <c r="I295" s="6">
        <v>74800</v>
      </c>
      <c r="J295" s="6">
        <v>11440</v>
      </c>
      <c r="K295" t="s">
        <v>78</v>
      </c>
      <c r="L295" t="s">
        <v>36</v>
      </c>
      <c r="M295" t="s">
        <v>19</v>
      </c>
      <c r="N295" t="s">
        <v>20</v>
      </c>
    </row>
    <row r="296" spans="1:14" x14ac:dyDescent="0.3">
      <c r="A296">
        <v>1295</v>
      </c>
      <c r="B296" s="3">
        <v>46140</v>
      </c>
      <c r="C296" t="s">
        <v>82</v>
      </c>
      <c r="D296" t="s">
        <v>42</v>
      </c>
      <c r="E296" t="s">
        <v>16</v>
      </c>
      <c r="F296" s="5">
        <v>6</v>
      </c>
      <c r="G296">
        <v>14000</v>
      </c>
      <c r="H296" s="4">
        <v>0.15</v>
      </c>
      <c r="I296" s="6">
        <v>71400</v>
      </c>
      <c r="J296" s="6">
        <v>10920</v>
      </c>
      <c r="K296" t="s">
        <v>67</v>
      </c>
      <c r="L296" t="s">
        <v>58</v>
      </c>
      <c r="M296" t="s">
        <v>19</v>
      </c>
      <c r="N296" t="s">
        <v>59</v>
      </c>
    </row>
    <row r="297" spans="1:14" x14ac:dyDescent="0.3">
      <c r="A297">
        <v>1296</v>
      </c>
      <c r="B297" s="3">
        <v>46039</v>
      </c>
      <c r="C297" t="s">
        <v>155</v>
      </c>
      <c r="D297" t="s">
        <v>45</v>
      </c>
      <c r="E297" t="s">
        <v>16</v>
      </c>
      <c r="F297" s="5">
        <v>3</v>
      </c>
      <c r="G297">
        <v>2500</v>
      </c>
      <c r="H297" s="4">
        <v>0</v>
      </c>
      <c r="I297" s="6">
        <v>7500</v>
      </c>
      <c r="J297" s="6">
        <v>2100</v>
      </c>
      <c r="K297" t="s">
        <v>17</v>
      </c>
      <c r="L297" t="s">
        <v>18</v>
      </c>
      <c r="M297" t="s">
        <v>19</v>
      </c>
      <c r="N297" t="s">
        <v>37</v>
      </c>
    </row>
    <row r="298" spans="1:14" x14ac:dyDescent="0.3">
      <c r="A298">
        <v>1297</v>
      </c>
      <c r="B298" s="3">
        <v>46062</v>
      </c>
      <c r="C298" t="s">
        <v>202</v>
      </c>
      <c r="D298" t="s">
        <v>51</v>
      </c>
      <c r="E298" t="s">
        <v>32</v>
      </c>
      <c r="F298" s="5">
        <v>2</v>
      </c>
      <c r="G298">
        <v>9000</v>
      </c>
      <c r="H298" s="4">
        <v>0.05</v>
      </c>
      <c r="I298" s="6">
        <v>17100</v>
      </c>
      <c r="J298" s="6">
        <v>4140</v>
      </c>
      <c r="K298" t="s">
        <v>35</v>
      </c>
      <c r="L298" t="s">
        <v>36</v>
      </c>
      <c r="M298" t="s">
        <v>43</v>
      </c>
      <c r="N298" t="s">
        <v>29</v>
      </c>
    </row>
    <row r="299" spans="1:14" x14ac:dyDescent="0.3">
      <c r="A299">
        <v>1298</v>
      </c>
      <c r="B299" s="3">
        <v>46063</v>
      </c>
      <c r="C299" t="s">
        <v>41</v>
      </c>
      <c r="D299" t="s">
        <v>28</v>
      </c>
      <c r="E299" t="s">
        <v>16</v>
      </c>
      <c r="F299" s="5">
        <v>6</v>
      </c>
      <c r="G299">
        <v>16000</v>
      </c>
      <c r="H299" s="4">
        <v>0.1</v>
      </c>
      <c r="I299" s="6">
        <v>86400</v>
      </c>
      <c r="J299" s="6">
        <v>17280</v>
      </c>
      <c r="K299" t="s">
        <v>23</v>
      </c>
      <c r="L299" t="s">
        <v>24</v>
      </c>
      <c r="M299" t="s">
        <v>25</v>
      </c>
      <c r="N299" t="s">
        <v>20</v>
      </c>
    </row>
    <row r="300" spans="1:14" x14ac:dyDescent="0.3">
      <c r="A300">
        <v>1299</v>
      </c>
      <c r="B300" s="3">
        <v>46197</v>
      </c>
      <c r="C300" t="s">
        <v>133</v>
      </c>
      <c r="D300" t="s">
        <v>22</v>
      </c>
      <c r="E300" t="s">
        <v>16</v>
      </c>
      <c r="F300" s="5">
        <v>5</v>
      </c>
      <c r="G300">
        <v>1800</v>
      </c>
      <c r="H300" s="4">
        <v>0.15</v>
      </c>
      <c r="I300" s="6">
        <v>7650</v>
      </c>
      <c r="J300" s="6">
        <v>1170</v>
      </c>
      <c r="K300" t="s">
        <v>78</v>
      </c>
      <c r="L300" t="s">
        <v>36</v>
      </c>
      <c r="M300" t="s">
        <v>43</v>
      </c>
      <c r="N300" t="s">
        <v>37</v>
      </c>
    </row>
    <row r="301" spans="1:14" x14ac:dyDescent="0.3">
      <c r="A301">
        <v>1300</v>
      </c>
      <c r="B301" s="3">
        <v>46139</v>
      </c>
      <c r="C301" t="s">
        <v>203</v>
      </c>
      <c r="D301" t="s">
        <v>31</v>
      </c>
      <c r="E301" t="s">
        <v>32</v>
      </c>
      <c r="F301" s="5">
        <v>5</v>
      </c>
      <c r="G301">
        <v>12000</v>
      </c>
      <c r="H301" s="4">
        <v>0.15</v>
      </c>
      <c r="I301" s="6">
        <v>51000</v>
      </c>
      <c r="J301" s="6">
        <v>7800</v>
      </c>
      <c r="K301" t="s">
        <v>55</v>
      </c>
      <c r="L301" t="s">
        <v>24</v>
      </c>
      <c r="M301" t="s">
        <v>25</v>
      </c>
      <c r="N301" t="s">
        <v>26</v>
      </c>
    </row>
    <row r="302" spans="1:14" x14ac:dyDescent="0.3">
      <c r="A302">
        <v>1301</v>
      </c>
      <c r="B302" s="3">
        <v>46174</v>
      </c>
      <c r="C302" t="s">
        <v>186</v>
      </c>
      <c r="D302" t="s">
        <v>42</v>
      </c>
      <c r="E302" t="s">
        <v>16</v>
      </c>
      <c r="F302" s="5">
        <v>6</v>
      </c>
      <c r="G302">
        <v>14000</v>
      </c>
      <c r="H302" s="4">
        <v>0</v>
      </c>
      <c r="I302" s="6">
        <v>84000</v>
      </c>
      <c r="J302" s="6">
        <v>23520</v>
      </c>
      <c r="K302" t="s">
        <v>57</v>
      </c>
      <c r="L302" t="s">
        <v>58</v>
      </c>
      <c r="M302" t="s">
        <v>43</v>
      </c>
      <c r="N302" t="s">
        <v>29</v>
      </c>
    </row>
    <row r="303" spans="1:14" x14ac:dyDescent="0.3">
      <c r="A303">
        <v>1302</v>
      </c>
      <c r="B303" s="3">
        <v>46222</v>
      </c>
      <c r="C303" t="s">
        <v>204</v>
      </c>
      <c r="D303" t="s">
        <v>31</v>
      </c>
      <c r="E303" t="s">
        <v>32</v>
      </c>
      <c r="F303" s="5">
        <v>3</v>
      </c>
      <c r="G303">
        <v>12000</v>
      </c>
      <c r="H303" s="4">
        <v>0</v>
      </c>
      <c r="I303" s="6">
        <v>36000</v>
      </c>
      <c r="J303" s="6">
        <v>10080</v>
      </c>
      <c r="K303" t="s">
        <v>57</v>
      </c>
      <c r="L303" t="s">
        <v>58</v>
      </c>
      <c r="M303" t="s">
        <v>43</v>
      </c>
      <c r="N303" t="s">
        <v>59</v>
      </c>
    </row>
    <row r="304" spans="1:14" x14ac:dyDescent="0.3">
      <c r="A304">
        <v>1303</v>
      </c>
      <c r="B304" s="3">
        <v>46161</v>
      </c>
      <c r="C304" t="s">
        <v>112</v>
      </c>
      <c r="D304" t="s">
        <v>34</v>
      </c>
      <c r="E304" t="s">
        <v>16</v>
      </c>
      <c r="F304" s="5">
        <v>2</v>
      </c>
      <c r="G304">
        <v>22000</v>
      </c>
      <c r="H304" s="4">
        <v>0</v>
      </c>
      <c r="I304" s="6">
        <v>44000</v>
      </c>
      <c r="J304" s="6">
        <v>12320</v>
      </c>
      <c r="K304" t="s">
        <v>47</v>
      </c>
      <c r="L304" t="s">
        <v>18</v>
      </c>
      <c r="M304" t="s">
        <v>19</v>
      </c>
      <c r="N304" t="s">
        <v>26</v>
      </c>
    </row>
    <row r="305" spans="1:14" x14ac:dyDescent="0.3">
      <c r="A305">
        <v>1304</v>
      </c>
      <c r="B305" s="3">
        <v>46285</v>
      </c>
      <c r="C305" t="s">
        <v>205</v>
      </c>
      <c r="D305" t="s">
        <v>39</v>
      </c>
      <c r="E305" t="s">
        <v>40</v>
      </c>
      <c r="F305" s="5">
        <v>1</v>
      </c>
      <c r="G305">
        <v>120</v>
      </c>
      <c r="H305" s="4">
        <v>0</v>
      </c>
      <c r="I305" s="6">
        <v>120</v>
      </c>
      <c r="J305" s="6">
        <v>33.6</v>
      </c>
      <c r="K305" t="s">
        <v>57</v>
      </c>
      <c r="L305" t="s">
        <v>58</v>
      </c>
      <c r="M305" t="s">
        <v>19</v>
      </c>
      <c r="N305" t="s">
        <v>26</v>
      </c>
    </row>
    <row r="306" spans="1:14" x14ac:dyDescent="0.3">
      <c r="A306">
        <v>1305</v>
      </c>
      <c r="B306" s="3">
        <v>46189</v>
      </c>
      <c r="C306" t="s">
        <v>202</v>
      </c>
      <c r="D306" t="s">
        <v>39</v>
      </c>
      <c r="E306" t="s">
        <v>40</v>
      </c>
      <c r="F306" s="5">
        <v>1</v>
      </c>
      <c r="G306">
        <v>120</v>
      </c>
      <c r="H306" s="4">
        <v>0.1</v>
      </c>
      <c r="I306" s="6">
        <v>108</v>
      </c>
      <c r="J306" s="6">
        <v>21.6</v>
      </c>
      <c r="K306" t="s">
        <v>55</v>
      </c>
      <c r="L306" t="s">
        <v>24</v>
      </c>
      <c r="M306" t="s">
        <v>19</v>
      </c>
      <c r="N306" t="s">
        <v>26</v>
      </c>
    </row>
    <row r="307" spans="1:14" x14ac:dyDescent="0.3">
      <c r="A307">
        <v>1306</v>
      </c>
      <c r="B307" s="3">
        <v>46147</v>
      </c>
      <c r="C307" t="s">
        <v>200</v>
      </c>
      <c r="D307" t="s">
        <v>22</v>
      </c>
      <c r="E307" t="s">
        <v>16</v>
      </c>
      <c r="F307" s="5">
        <v>5</v>
      </c>
      <c r="G307">
        <v>1800</v>
      </c>
      <c r="H307" s="4">
        <v>0.05</v>
      </c>
      <c r="I307" s="6">
        <v>8550</v>
      </c>
      <c r="J307" s="6">
        <v>2070</v>
      </c>
      <c r="K307" t="s">
        <v>55</v>
      </c>
      <c r="L307" t="s">
        <v>24</v>
      </c>
      <c r="M307" t="s">
        <v>43</v>
      </c>
      <c r="N307" t="s">
        <v>59</v>
      </c>
    </row>
    <row r="308" spans="1:14" x14ac:dyDescent="0.3">
      <c r="A308">
        <v>1307</v>
      </c>
      <c r="B308" s="3">
        <v>46160</v>
      </c>
      <c r="C308" t="s">
        <v>129</v>
      </c>
      <c r="D308" t="s">
        <v>75</v>
      </c>
      <c r="E308" t="s">
        <v>40</v>
      </c>
      <c r="F308" s="5">
        <v>2</v>
      </c>
      <c r="G308">
        <v>180</v>
      </c>
      <c r="H308" s="4">
        <v>0</v>
      </c>
      <c r="I308" s="6">
        <v>360</v>
      </c>
      <c r="J308" s="6">
        <v>100.8</v>
      </c>
      <c r="K308" t="s">
        <v>47</v>
      </c>
      <c r="L308" t="s">
        <v>18</v>
      </c>
      <c r="M308" t="s">
        <v>43</v>
      </c>
      <c r="N308" t="s">
        <v>59</v>
      </c>
    </row>
    <row r="309" spans="1:14" x14ac:dyDescent="0.3">
      <c r="A309">
        <v>1308</v>
      </c>
      <c r="B309" s="3">
        <v>46270</v>
      </c>
      <c r="C309" t="s">
        <v>158</v>
      </c>
      <c r="D309" t="s">
        <v>34</v>
      </c>
      <c r="E309" t="s">
        <v>16</v>
      </c>
      <c r="F309" s="5">
        <v>3</v>
      </c>
      <c r="G309">
        <v>22000</v>
      </c>
      <c r="H309" s="4">
        <v>0.1</v>
      </c>
      <c r="I309" s="6">
        <v>59400</v>
      </c>
      <c r="J309" s="6">
        <v>11880</v>
      </c>
      <c r="K309" t="s">
        <v>17</v>
      </c>
      <c r="L309" t="s">
        <v>18</v>
      </c>
      <c r="M309" t="s">
        <v>19</v>
      </c>
      <c r="N309" t="s">
        <v>26</v>
      </c>
    </row>
    <row r="310" spans="1:14" x14ac:dyDescent="0.3">
      <c r="A310">
        <v>1309</v>
      </c>
      <c r="B310" s="3">
        <v>46123</v>
      </c>
      <c r="C310" t="s">
        <v>204</v>
      </c>
      <c r="D310" t="s">
        <v>75</v>
      </c>
      <c r="E310" t="s">
        <v>40</v>
      </c>
      <c r="F310" s="5">
        <v>1</v>
      </c>
      <c r="G310">
        <v>180</v>
      </c>
      <c r="H310" s="4">
        <v>0.05</v>
      </c>
      <c r="I310" s="6">
        <v>171</v>
      </c>
      <c r="J310" s="6">
        <v>41.4</v>
      </c>
      <c r="K310" t="s">
        <v>67</v>
      </c>
      <c r="L310" t="s">
        <v>58</v>
      </c>
      <c r="M310" t="s">
        <v>43</v>
      </c>
      <c r="N310" t="s">
        <v>26</v>
      </c>
    </row>
    <row r="311" spans="1:14" x14ac:dyDescent="0.3">
      <c r="A311">
        <v>1310</v>
      </c>
      <c r="B311" s="3">
        <v>46217</v>
      </c>
      <c r="C311" t="s">
        <v>184</v>
      </c>
      <c r="D311" t="s">
        <v>31</v>
      </c>
      <c r="E311" t="s">
        <v>32</v>
      </c>
      <c r="F311" s="5">
        <v>4</v>
      </c>
      <c r="G311">
        <v>12000</v>
      </c>
      <c r="H311" s="4">
        <v>0.1</v>
      </c>
      <c r="I311" s="6">
        <v>43200</v>
      </c>
      <c r="J311" s="6">
        <v>8640</v>
      </c>
      <c r="K311" t="s">
        <v>55</v>
      </c>
      <c r="L311" t="s">
        <v>24</v>
      </c>
      <c r="M311" t="s">
        <v>43</v>
      </c>
      <c r="N311" t="s">
        <v>59</v>
      </c>
    </row>
    <row r="312" spans="1:14" x14ac:dyDescent="0.3">
      <c r="A312">
        <v>1311</v>
      </c>
      <c r="B312" s="3">
        <v>46125</v>
      </c>
      <c r="C312" t="s">
        <v>189</v>
      </c>
      <c r="D312" t="s">
        <v>75</v>
      </c>
      <c r="E312" t="s">
        <v>40</v>
      </c>
      <c r="F312" s="5">
        <v>3</v>
      </c>
      <c r="G312">
        <v>180</v>
      </c>
      <c r="H312" s="4">
        <v>0.05</v>
      </c>
      <c r="I312" s="6">
        <v>513</v>
      </c>
      <c r="J312" s="6">
        <v>124.2</v>
      </c>
      <c r="K312" t="s">
        <v>55</v>
      </c>
      <c r="L312" t="s">
        <v>24</v>
      </c>
      <c r="M312" t="s">
        <v>19</v>
      </c>
      <c r="N312" t="s">
        <v>37</v>
      </c>
    </row>
    <row r="313" spans="1:14" x14ac:dyDescent="0.3">
      <c r="A313">
        <v>1312</v>
      </c>
      <c r="B313" s="3">
        <v>46147</v>
      </c>
      <c r="C313" t="s">
        <v>85</v>
      </c>
      <c r="D313" t="s">
        <v>31</v>
      </c>
      <c r="E313" t="s">
        <v>32</v>
      </c>
      <c r="F313" s="5">
        <v>4</v>
      </c>
      <c r="G313">
        <v>12000</v>
      </c>
      <c r="H313" s="4">
        <v>0.1</v>
      </c>
      <c r="I313" s="6">
        <v>43200</v>
      </c>
      <c r="J313" s="6">
        <v>8640</v>
      </c>
      <c r="K313" t="s">
        <v>55</v>
      </c>
      <c r="L313" t="s">
        <v>24</v>
      </c>
      <c r="M313" t="s">
        <v>19</v>
      </c>
      <c r="N313" t="s">
        <v>29</v>
      </c>
    </row>
    <row r="314" spans="1:14" x14ac:dyDescent="0.3">
      <c r="A314">
        <v>1313</v>
      </c>
      <c r="B314" s="3">
        <v>46115</v>
      </c>
      <c r="C314" t="s">
        <v>145</v>
      </c>
      <c r="D314" t="s">
        <v>28</v>
      </c>
      <c r="E314" t="s">
        <v>16</v>
      </c>
      <c r="F314" s="5">
        <v>1</v>
      </c>
      <c r="G314">
        <v>16000</v>
      </c>
      <c r="H314" s="4">
        <v>0.15</v>
      </c>
      <c r="I314" s="6">
        <v>13600</v>
      </c>
      <c r="J314" s="6">
        <v>2080</v>
      </c>
      <c r="K314" t="s">
        <v>17</v>
      </c>
      <c r="L314" t="s">
        <v>18</v>
      </c>
      <c r="M314" t="s">
        <v>19</v>
      </c>
      <c r="N314" t="s">
        <v>20</v>
      </c>
    </row>
    <row r="315" spans="1:14" x14ac:dyDescent="0.3">
      <c r="A315">
        <v>1314</v>
      </c>
      <c r="B315" s="3">
        <v>46232</v>
      </c>
      <c r="C315" t="s">
        <v>170</v>
      </c>
      <c r="D315" t="s">
        <v>75</v>
      </c>
      <c r="E315" t="s">
        <v>40</v>
      </c>
      <c r="F315" s="5">
        <v>2</v>
      </c>
      <c r="G315">
        <v>180</v>
      </c>
      <c r="H315" s="4">
        <v>0.1</v>
      </c>
      <c r="I315" s="6">
        <v>324</v>
      </c>
      <c r="J315" s="6">
        <v>64.8</v>
      </c>
      <c r="K315" t="s">
        <v>17</v>
      </c>
      <c r="L315" t="s">
        <v>18</v>
      </c>
      <c r="M315" t="s">
        <v>19</v>
      </c>
      <c r="N315" t="s">
        <v>37</v>
      </c>
    </row>
    <row r="316" spans="1:14" x14ac:dyDescent="0.3">
      <c r="A316">
        <v>1315</v>
      </c>
      <c r="B316" s="3">
        <v>46216</v>
      </c>
      <c r="C316" t="s">
        <v>66</v>
      </c>
      <c r="D316" t="s">
        <v>34</v>
      </c>
      <c r="E316" t="s">
        <v>16</v>
      </c>
      <c r="F316" s="5">
        <v>4</v>
      </c>
      <c r="G316">
        <v>22000</v>
      </c>
      <c r="H316" s="4">
        <v>0.15</v>
      </c>
      <c r="I316" s="6">
        <v>74800</v>
      </c>
      <c r="J316" s="6">
        <v>11440</v>
      </c>
      <c r="K316" t="s">
        <v>35</v>
      </c>
      <c r="L316" t="s">
        <v>36</v>
      </c>
      <c r="M316" t="s">
        <v>19</v>
      </c>
      <c r="N316" t="s">
        <v>20</v>
      </c>
    </row>
    <row r="317" spans="1:14" x14ac:dyDescent="0.3">
      <c r="A317">
        <v>1316</v>
      </c>
      <c r="B317" s="3">
        <v>46207</v>
      </c>
      <c r="C317" t="s">
        <v>173</v>
      </c>
      <c r="D317" t="s">
        <v>28</v>
      </c>
      <c r="E317" t="s">
        <v>16</v>
      </c>
      <c r="F317" s="5">
        <v>5</v>
      </c>
      <c r="G317">
        <v>16000</v>
      </c>
      <c r="H317" s="4">
        <v>0</v>
      </c>
      <c r="I317" s="6">
        <v>80000</v>
      </c>
      <c r="J317" s="6">
        <v>22400</v>
      </c>
      <c r="K317" t="s">
        <v>57</v>
      </c>
      <c r="L317" t="s">
        <v>58</v>
      </c>
      <c r="M317" t="s">
        <v>19</v>
      </c>
      <c r="N317" t="s">
        <v>59</v>
      </c>
    </row>
    <row r="318" spans="1:14" x14ac:dyDescent="0.3">
      <c r="A318">
        <v>1317</v>
      </c>
      <c r="B318" s="3">
        <v>46108</v>
      </c>
      <c r="C318" t="s">
        <v>112</v>
      </c>
      <c r="D318" t="s">
        <v>22</v>
      </c>
      <c r="E318" t="s">
        <v>16</v>
      </c>
      <c r="F318" s="5">
        <v>1</v>
      </c>
      <c r="G318">
        <v>1800</v>
      </c>
      <c r="H318" s="4">
        <v>0.15</v>
      </c>
      <c r="I318" s="6">
        <v>1530</v>
      </c>
      <c r="J318" s="6">
        <v>234</v>
      </c>
      <c r="K318" t="s">
        <v>78</v>
      </c>
      <c r="L318" t="s">
        <v>36</v>
      </c>
      <c r="M318" t="s">
        <v>25</v>
      </c>
      <c r="N318" t="s">
        <v>20</v>
      </c>
    </row>
    <row r="319" spans="1:14" x14ac:dyDescent="0.3">
      <c r="A319">
        <v>1318</v>
      </c>
      <c r="B319" s="3">
        <v>46155</v>
      </c>
      <c r="C319" t="s">
        <v>183</v>
      </c>
      <c r="D319" t="s">
        <v>42</v>
      </c>
      <c r="E319" t="s">
        <v>16</v>
      </c>
      <c r="F319" s="5">
        <v>5</v>
      </c>
      <c r="G319">
        <v>14000</v>
      </c>
      <c r="H319" s="4">
        <v>0.05</v>
      </c>
      <c r="I319" s="6">
        <v>66500</v>
      </c>
      <c r="J319" s="6">
        <v>16100</v>
      </c>
      <c r="K319" t="s">
        <v>61</v>
      </c>
      <c r="L319" t="s">
        <v>24</v>
      </c>
      <c r="M319" t="s">
        <v>43</v>
      </c>
      <c r="N319" t="s">
        <v>26</v>
      </c>
    </row>
    <row r="320" spans="1:14" x14ac:dyDescent="0.3">
      <c r="A320">
        <v>1319</v>
      </c>
      <c r="B320" s="3">
        <v>46279</v>
      </c>
      <c r="C320" t="s">
        <v>165</v>
      </c>
      <c r="D320" t="s">
        <v>45</v>
      </c>
      <c r="E320" t="s">
        <v>16</v>
      </c>
      <c r="F320" s="5">
        <v>3</v>
      </c>
      <c r="G320">
        <v>2500</v>
      </c>
      <c r="H320" s="4">
        <v>0</v>
      </c>
      <c r="I320" s="6">
        <v>7500</v>
      </c>
      <c r="J320" s="6">
        <v>2100</v>
      </c>
      <c r="K320" t="s">
        <v>61</v>
      </c>
      <c r="L320" t="s">
        <v>24</v>
      </c>
      <c r="M320" t="s">
        <v>43</v>
      </c>
      <c r="N320" t="s">
        <v>20</v>
      </c>
    </row>
    <row r="321" spans="1:14" x14ac:dyDescent="0.3">
      <c r="A321">
        <v>1320</v>
      </c>
      <c r="B321" s="3">
        <v>46082</v>
      </c>
      <c r="C321" t="s">
        <v>137</v>
      </c>
      <c r="D321" t="s">
        <v>45</v>
      </c>
      <c r="E321" t="s">
        <v>16</v>
      </c>
      <c r="F321" s="5">
        <v>3</v>
      </c>
      <c r="G321">
        <v>2500</v>
      </c>
      <c r="H321" s="4">
        <v>0.1</v>
      </c>
      <c r="I321" s="6">
        <v>6750</v>
      </c>
      <c r="J321" s="6">
        <v>1350</v>
      </c>
      <c r="K321" t="s">
        <v>78</v>
      </c>
      <c r="L321" t="s">
        <v>36</v>
      </c>
      <c r="M321" t="s">
        <v>19</v>
      </c>
      <c r="N321" t="s">
        <v>37</v>
      </c>
    </row>
    <row r="322" spans="1:14" x14ac:dyDescent="0.3">
      <c r="A322">
        <v>1321</v>
      </c>
      <c r="B322" s="3">
        <v>46201</v>
      </c>
      <c r="C322" t="s">
        <v>189</v>
      </c>
      <c r="D322" t="s">
        <v>75</v>
      </c>
      <c r="E322" t="s">
        <v>40</v>
      </c>
      <c r="F322" s="5">
        <v>1</v>
      </c>
      <c r="G322">
        <v>180</v>
      </c>
      <c r="H322" s="4">
        <v>0.15</v>
      </c>
      <c r="I322" s="6">
        <v>153</v>
      </c>
      <c r="J322" s="6">
        <v>23.4</v>
      </c>
      <c r="K322" t="s">
        <v>61</v>
      </c>
      <c r="L322" t="s">
        <v>24</v>
      </c>
      <c r="M322" t="s">
        <v>43</v>
      </c>
      <c r="N322" t="s">
        <v>20</v>
      </c>
    </row>
    <row r="323" spans="1:14" x14ac:dyDescent="0.3">
      <c r="A323">
        <v>1322</v>
      </c>
      <c r="B323" s="3">
        <v>46081</v>
      </c>
      <c r="C323" t="s">
        <v>122</v>
      </c>
      <c r="D323" t="s">
        <v>15</v>
      </c>
      <c r="E323" t="s">
        <v>16</v>
      </c>
      <c r="F323" s="5">
        <v>3</v>
      </c>
      <c r="G323">
        <v>55000</v>
      </c>
      <c r="H323" s="4">
        <v>0</v>
      </c>
      <c r="I323" s="6">
        <v>165000</v>
      </c>
      <c r="J323" s="6">
        <v>46200</v>
      </c>
      <c r="K323" t="s">
        <v>47</v>
      </c>
      <c r="L323" t="s">
        <v>18</v>
      </c>
      <c r="M323" t="s">
        <v>19</v>
      </c>
      <c r="N323" t="s">
        <v>29</v>
      </c>
    </row>
    <row r="324" spans="1:14" x14ac:dyDescent="0.3">
      <c r="A324">
        <v>1323</v>
      </c>
      <c r="B324" s="3">
        <v>46104</v>
      </c>
      <c r="C324" t="s">
        <v>206</v>
      </c>
      <c r="D324" t="s">
        <v>31</v>
      </c>
      <c r="E324" t="s">
        <v>32</v>
      </c>
      <c r="F324" s="5">
        <v>5</v>
      </c>
      <c r="G324">
        <v>12000</v>
      </c>
      <c r="H324" s="4">
        <v>0.15</v>
      </c>
      <c r="I324" s="6">
        <v>51000</v>
      </c>
      <c r="J324" s="6">
        <v>7800</v>
      </c>
      <c r="K324" t="s">
        <v>61</v>
      </c>
      <c r="L324" t="s">
        <v>24</v>
      </c>
      <c r="M324" t="s">
        <v>19</v>
      </c>
      <c r="N324" t="s">
        <v>29</v>
      </c>
    </row>
    <row r="325" spans="1:14" x14ac:dyDescent="0.3">
      <c r="A325">
        <v>1324</v>
      </c>
      <c r="B325" s="3">
        <v>46118</v>
      </c>
      <c r="C325" t="s">
        <v>97</v>
      </c>
      <c r="D325" t="s">
        <v>39</v>
      </c>
      <c r="E325" t="s">
        <v>40</v>
      </c>
      <c r="F325" s="5">
        <v>4</v>
      </c>
      <c r="G325">
        <v>120</v>
      </c>
      <c r="H325" s="4">
        <v>0</v>
      </c>
      <c r="I325" s="6">
        <v>480</v>
      </c>
      <c r="J325" s="6">
        <v>134.4</v>
      </c>
      <c r="K325" t="s">
        <v>35</v>
      </c>
      <c r="L325" t="s">
        <v>36</v>
      </c>
      <c r="M325" t="s">
        <v>19</v>
      </c>
      <c r="N325" t="s">
        <v>37</v>
      </c>
    </row>
    <row r="326" spans="1:14" x14ac:dyDescent="0.3">
      <c r="A326">
        <v>1325</v>
      </c>
      <c r="B326" s="3">
        <v>46222</v>
      </c>
      <c r="C326" t="s">
        <v>207</v>
      </c>
      <c r="D326" t="s">
        <v>15</v>
      </c>
      <c r="E326" t="s">
        <v>16</v>
      </c>
      <c r="F326" s="5">
        <v>6</v>
      </c>
      <c r="G326">
        <v>55000</v>
      </c>
      <c r="H326" s="4">
        <v>0.05</v>
      </c>
      <c r="I326" s="6">
        <v>313500</v>
      </c>
      <c r="J326" s="6">
        <v>75900</v>
      </c>
      <c r="K326" t="s">
        <v>17</v>
      </c>
      <c r="L326" t="s">
        <v>18</v>
      </c>
      <c r="M326" t="s">
        <v>19</v>
      </c>
      <c r="N326" t="s">
        <v>20</v>
      </c>
    </row>
    <row r="327" spans="1:14" x14ac:dyDescent="0.3">
      <c r="A327">
        <v>1326</v>
      </c>
      <c r="B327" s="3">
        <v>46118</v>
      </c>
      <c r="C327" t="s">
        <v>90</v>
      </c>
      <c r="D327" t="s">
        <v>31</v>
      </c>
      <c r="E327" t="s">
        <v>32</v>
      </c>
      <c r="F327" s="5">
        <v>3</v>
      </c>
      <c r="G327">
        <v>12000</v>
      </c>
      <c r="H327" s="4">
        <v>0.05</v>
      </c>
      <c r="I327" s="6">
        <v>34200</v>
      </c>
      <c r="J327" s="6">
        <v>8280</v>
      </c>
      <c r="K327" t="s">
        <v>61</v>
      </c>
      <c r="L327" t="s">
        <v>24</v>
      </c>
      <c r="M327" t="s">
        <v>19</v>
      </c>
      <c r="N327" t="s">
        <v>37</v>
      </c>
    </row>
    <row r="328" spans="1:14" x14ac:dyDescent="0.3">
      <c r="A328">
        <v>1327</v>
      </c>
      <c r="B328" s="3">
        <v>46293</v>
      </c>
      <c r="C328" t="s">
        <v>208</v>
      </c>
      <c r="D328" t="s">
        <v>31</v>
      </c>
      <c r="E328" t="s">
        <v>32</v>
      </c>
      <c r="F328" s="5">
        <v>5</v>
      </c>
      <c r="G328">
        <v>12000</v>
      </c>
      <c r="H328" s="4">
        <v>0.15</v>
      </c>
      <c r="I328" s="6">
        <v>51000</v>
      </c>
      <c r="J328" s="6">
        <v>7800</v>
      </c>
      <c r="K328" t="s">
        <v>35</v>
      </c>
      <c r="L328" t="s">
        <v>36</v>
      </c>
      <c r="M328" t="s">
        <v>43</v>
      </c>
      <c r="N328" t="s">
        <v>59</v>
      </c>
    </row>
    <row r="329" spans="1:14" x14ac:dyDescent="0.3">
      <c r="A329">
        <v>1328</v>
      </c>
      <c r="B329" s="3">
        <v>46257</v>
      </c>
      <c r="C329" t="s">
        <v>209</v>
      </c>
      <c r="D329" t="s">
        <v>22</v>
      </c>
      <c r="E329" t="s">
        <v>16</v>
      </c>
      <c r="F329" s="5">
        <v>2</v>
      </c>
      <c r="G329">
        <v>1800</v>
      </c>
      <c r="H329" s="4">
        <v>0.1</v>
      </c>
      <c r="I329" s="6">
        <v>3240</v>
      </c>
      <c r="J329" s="6">
        <v>648</v>
      </c>
      <c r="K329" t="s">
        <v>35</v>
      </c>
      <c r="L329" t="s">
        <v>36</v>
      </c>
      <c r="M329" t="s">
        <v>19</v>
      </c>
      <c r="N329" t="s">
        <v>29</v>
      </c>
    </row>
    <row r="330" spans="1:14" x14ac:dyDescent="0.3">
      <c r="A330">
        <v>1329</v>
      </c>
      <c r="B330" s="3">
        <v>46183</v>
      </c>
      <c r="C330" t="s">
        <v>114</v>
      </c>
      <c r="D330" t="s">
        <v>34</v>
      </c>
      <c r="E330" t="s">
        <v>16</v>
      </c>
      <c r="F330" s="5">
        <v>2</v>
      </c>
      <c r="G330">
        <v>22000</v>
      </c>
      <c r="H330" s="4">
        <v>0.1</v>
      </c>
      <c r="I330" s="6">
        <v>39600</v>
      </c>
      <c r="J330" s="6">
        <v>7920</v>
      </c>
      <c r="K330" t="s">
        <v>57</v>
      </c>
      <c r="L330" t="s">
        <v>58</v>
      </c>
      <c r="M330" t="s">
        <v>19</v>
      </c>
      <c r="N330" t="s">
        <v>29</v>
      </c>
    </row>
    <row r="331" spans="1:14" x14ac:dyDescent="0.3">
      <c r="A331">
        <v>1330</v>
      </c>
      <c r="B331" s="3">
        <v>46284</v>
      </c>
      <c r="C331" t="s">
        <v>176</v>
      </c>
      <c r="D331" t="s">
        <v>39</v>
      </c>
      <c r="E331" t="s">
        <v>40</v>
      </c>
      <c r="F331" s="5">
        <v>4</v>
      </c>
      <c r="G331">
        <v>120</v>
      </c>
      <c r="H331" s="4">
        <v>0.05</v>
      </c>
      <c r="I331" s="6">
        <v>456</v>
      </c>
      <c r="J331" s="6">
        <v>110.4</v>
      </c>
      <c r="K331" t="s">
        <v>35</v>
      </c>
      <c r="L331" t="s">
        <v>36</v>
      </c>
      <c r="M331" t="s">
        <v>25</v>
      </c>
      <c r="N331" t="s">
        <v>37</v>
      </c>
    </row>
    <row r="332" spans="1:14" x14ac:dyDescent="0.3">
      <c r="A332">
        <v>1331</v>
      </c>
      <c r="B332" s="3">
        <v>46111</v>
      </c>
      <c r="C332" t="s">
        <v>53</v>
      </c>
      <c r="D332" t="s">
        <v>28</v>
      </c>
      <c r="E332" t="s">
        <v>16</v>
      </c>
      <c r="F332" s="5">
        <v>2</v>
      </c>
      <c r="G332">
        <v>16000</v>
      </c>
      <c r="H332" s="4">
        <v>0.15</v>
      </c>
      <c r="I332" s="6">
        <v>27200</v>
      </c>
      <c r="J332" s="6">
        <v>4160</v>
      </c>
      <c r="K332" t="s">
        <v>67</v>
      </c>
      <c r="L332" t="s">
        <v>58</v>
      </c>
      <c r="M332" t="s">
        <v>43</v>
      </c>
      <c r="N332" t="s">
        <v>37</v>
      </c>
    </row>
    <row r="333" spans="1:14" x14ac:dyDescent="0.3">
      <c r="A333">
        <v>1332</v>
      </c>
      <c r="B333" s="3">
        <v>46050</v>
      </c>
      <c r="C333" t="s">
        <v>172</v>
      </c>
      <c r="D333" t="s">
        <v>31</v>
      </c>
      <c r="E333" t="s">
        <v>32</v>
      </c>
      <c r="F333" s="5">
        <v>1</v>
      </c>
      <c r="G333">
        <v>12000</v>
      </c>
      <c r="H333" s="4">
        <v>0.15</v>
      </c>
      <c r="I333" s="6">
        <v>10200</v>
      </c>
      <c r="J333" s="6">
        <v>1560</v>
      </c>
      <c r="K333" t="s">
        <v>47</v>
      </c>
      <c r="L333" t="s">
        <v>18</v>
      </c>
      <c r="M333" t="s">
        <v>19</v>
      </c>
      <c r="N333" t="s">
        <v>26</v>
      </c>
    </row>
    <row r="334" spans="1:14" x14ac:dyDescent="0.3">
      <c r="A334">
        <v>1333</v>
      </c>
      <c r="B334" s="3">
        <v>46276</v>
      </c>
      <c r="C334" t="s">
        <v>69</v>
      </c>
      <c r="D334" t="s">
        <v>39</v>
      </c>
      <c r="E334" t="s">
        <v>40</v>
      </c>
      <c r="F334" s="5">
        <v>6</v>
      </c>
      <c r="G334">
        <v>120</v>
      </c>
      <c r="H334" s="4">
        <v>0.15</v>
      </c>
      <c r="I334" s="6">
        <v>612</v>
      </c>
      <c r="J334" s="6">
        <v>93.6</v>
      </c>
      <c r="K334" t="s">
        <v>55</v>
      </c>
      <c r="L334" t="s">
        <v>24</v>
      </c>
      <c r="M334" t="s">
        <v>43</v>
      </c>
      <c r="N334" t="s">
        <v>29</v>
      </c>
    </row>
    <row r="335" spans="1:14" x14ac:dyDescent="0.3">
      <c r="A335">
        <v>1334</v>
      </c>
      <c r="B335" s="3">
        <v>46065</v>
      </c>
      <c r="C335" t="s">
        <v>124</v>
      </c>
      <c r="D335" t="s">
        <v>22</v>
      </c>
      <c r="E335" t="s">
        <v>16</v>
      </c>
      <c r="F335" s="5">
        <v>1</v>
      </c>
      <c r="G335">
        <v>1800</v>
      </c>
      <c r="H335" s="4">
        <v>0.05</v>
      </c>
      <c r="I335" s="6">
        <v>1710</v>
      </c>
      <c r="J335" s="6">
        <v>414</v>
      </c>
      <c r="K335" t="s">
        <v>67</v>
      </c>
      <c r="L335" t="s">
        <v>58</v>
      </c>
      <c r="M335" t="s">
        <v>25</v>
      </c>
      <c r="N335" t="s">
        <v>26</v>
      </c>
    </row>
    <row r="336" spans="1:14" x14ac:dyDescent="0.3">
      <c r="A336">
        <v>1335</v>
      </c>
      <c r="B336" s="3">
        <v>46170</v>
      </c>
      <c r="C336" t="s">
        <v>171</v>
      </c>
      <c r="D336" t="s">
        <v>45</v>
      </c>
      <c r="E336" t="s">
        <v>16</v>
      </c>
      <c r="F336" s="5">
        <v>4</v>
      </c>
      <c r="G336">
        <v>2500</v>
      </c>
      <c r="H336" s="4">
        <v>0.15</v>
      </c>
      <c r="I336" s="6">
        <v>8500</v>
      </c>
      <c r="J336" s="6">
        <v>1300</v>
      </c>
      <c r="K336" t="s">
        <v>52</v>
      </c>
      <c r="L336" t="s">
        <v>24</v>
      </c>
      <c r="M336" t="s">
        <v>19</v>
      </c>
      <c r="N336" t="s">
        <v>20</v>
      </c>
    </row>
    <row r="337" spans="1:14" x14ac:dyDescent="0.3">
      <c r="A337">
        <v>1336</v>
      </c>
      <c r="B337" s="3">
        <v>46160</v>
      </c>
      <c r="C337" t="s">
        <v>81</v>
      </c>
      <c r="D337" t="s">
        <v>28</v>
      </c>
      <c r="E337" t="s">
        <v>16</v>
      </c>
      <c r="F337" s="5">
        <v>3</v>
      </c>
      <c r="G337">
        <v>16000</v>
      </c>
      <c r="H337" s="4">
        <v>0</v>
      </c>
      <c r="I337" s="6">
        <v>48000</v>
      </c>
      <c r="J337" s="6">
        <v>13440</v>
      </c>
      <c r="K337" t="s">
        <v>61</v>
      </c>
      <c r="L337" t="s">
        <v>24</v>
      </c>
      <c r="M337" t="s">
        <v>43</v>
      </c>
      <c r="N337" t="s">
        <v>20</v>
      </c>
    </row>
    <row r="338" spans="1:14" x14ac:dyDescent="0.3">
      <c r="A338">
        <v>1337</v>
      </c>
      <c r="B338" s="3">
        <v>46149</v>
      </c>
      <c r="C338" t="s">
        <v>210</v>
      </c>
      <c r="D338" t="s">
        <v>51</v>
      </c>
      <c r="E338" t="s">
        <v>32</v>
      </c>
      <c r="F338" s="5">
        <v>1</v>
      </c>
      <c r="G338">
        <v>9000</v>
      </c>
      <c r="H338" s="4">
        <v>0.15</v>
      </c>
      <c r="I338" s="6">
        <v>7650</v>
      </c>
      <c r="J338" s="6">
        <v>1170</v>
      </c>
      <c r="K338" t="s">
        <v>67</v>
      </c>
      <c r="L338" t="s">
        <v>58</v>
      </c>
      <c r="M338" t="s">
        <v>43</v>
      </c>
      <c r="N338" t="s">
        <v>20</v>
      </c>
    </row>
    <row r="339" spans="1:14" x14ac:dyDescent="0.3">
      <c r="A339">
        <v>1338</v>
      </c>
      <c r="B339" s="3">
        <v>46144</v>
      </c>
      <c r="C339" t="s">
        <v>211</v>
      </c>
      <c r="D339" t="s">
        <v>42</v>
      </c>
      <c r="E339" t="s">
        <v>16</v>
      </c>
      <c r="F339" s="5">
        <v>6</v>
      </c>
      <c r="G339">
        <v>14000</v>
      </c>
      <c r="H339" s="4">
        <v>0.1</v>
      </c>
      <c r="I339" s="6">
        <v>75600</v>
      </c>
      <c r="J339" s="6">
        <v>15120</v>
      </c>
      <c r="K339" t="s">
        <v>35</v>
      </c>
      <c r="L339" t="s">
        <v>36</v>
      </c>
      <c r="M339" t="s">
        <v>25</v>
      </c>
      <c r="N339" t="s">
        <v>26</v>
      </c>
    </row>
    <row r="340" spans="1:14" x14ac:dyDescent="0.3">
      <c r="A340">
        <v>1339</v>
      </c>
      <c r="B340" s="3">
        <v>46094</v>
      </c>
      <c r="C340" t="s">
        <v>210</v>
      </c>
      <c r="D340" t="s">
        <v>42</v>
      </c>
      <c r="E340" t="s">
        <v>16</v>
      </c>
      <c r="F340" s="5">
        <v>2</v>
      </c>
      <c r="G340">
        <v>14000</v>
      </c>
      <c r="H340" s="4">
        <v>0</v>
      </c>
      <c r="I340" s="6">
        <v>28000</v>
      </c>
      <c r="J340" s="6">
        <v>7840</v>
      </c>
      <c r="K340" t="s">
        <v>35</v>
      </c>
      <c r="L340" t="s">
        <v>36</v>
      </c>
      <c r="M340" t="s">
        <v>19</v>
      </c>
      <c r="N340" t="s">
        <v>26</v>
      </c>
    </row>
    <row r="341" spans="1:14" x14ac:dyDescent="0.3">
      <c r="A341">
        <v>1340</v>
      </c>
      <c r="B341" s="3">
        <v>46109</v>
      </c>
      <c r="C341" t="s">
        <v>161</v>
      </c>
      <c r="D341" t="s">
        <v>31</v>
      </c>
      <c r="E341" t="s">
        <v>32</v>
      </c>
      <c r="F341" s="5">
        <v>6</v>
      </c>
      <c r="G341">
        <v>12000</v>
      </c>
      <c r="H341" s="4">
        <v>0.1</v>
      </c>
      <c r="I341" s="6">
        <v>64800</v>
      </c>
      <c r="J341" s="6">
        <v>12960</v>
      </c>
      <c r="K341" t="s">
        <v>67</v>
      </c>
      <c r="L341" t="s">
        <v>58</v>
      </c>
      <c r="M341" t="s">
        <v>19</v>
      </c>
      <c r="N341" t="s">
        <v>20</v>
      </c>
    </row>
    <row r="342" spans="1:14" x14ac:dyDescent="0.3">
      <c r="A342">
        <v>1341</v>
      </c>
      <c r="B342" s="3">
        <v>46092</v>
      </c>
      <c r="C342" t="s">
        <v>118</v>
      </c>
      <c r="D342" t="s">
        <v>39</v>
      </c>
      <c r="E342" t="s">
        <v>40</v>
      </c>
      <c r="F342" s="5">
        <v>1</v>
      </c>
      <c r="G342">
        <v>120</v>
      </c>
      <c r="H342" s="4">
        <v>0.1</v>
      </c>
      <c r="I342" s="6">
        <v>108</v>
      </c>
      <c r="J342" s="6">
        <v>21.6</v>
      </c>
      <c r="K342" t="s">
        <v>47</v>
      </c>
      <c r="L342" t="s">
        <v>18</v>
      </c>
      <c r="M342" t="s">
        <v>25</v>
      </c>
      <c r="N342" t="s">
        <v>29</v>
      </c>
    </row>
    <row r="343" spans="1:14" x14ac:dyDescent="0.3">
      <c r="A343">
        <v>1342</v>
      </c>
      <c r="B343" s="3">
        <v>46187</v>
      </c>
      <c r="C343" t="s">
        <v>212</v>
      </c>
      <c r="D343" t="s">
        <v>42</v>
      </c>
      <c r="E343" t="s">
        <v>16</v>
      </c>
      <c r="F343" s="5">
        <v>6</v>
      </c>
      <c r="G343">
        <v>14000</v>
      </c>
      <c r="H343" s="4">
        <v>0.15</v>
      </c>
      <c r="I343" s="6">
        <v>71400</v>
      </c>
      <c r="J343" s="6">
        <v>10920</v>
      </c>
      <c r="K343" t="s">
        <v>61</v>
      </c>
      <c r="L343" t="s">
        <v>24</v>
      </c>
      <c r="M343" t="s">
        <v>19</v>
      </c>
      <c r="N343" t="s">
        <v>37</v>
      </c>
    </row>
    <row r="344" spans="1:14" x14ac:dyDescent="0.3">
      <c r="A344">
        <v>1343</v>
      </c>
      <c r="B344" s="3">
        <v>46215</v>
      </c>
      <c r="C344" t="s">
        <v>181</v>
      </c>
      <c r="D344" t="s">
        <v>75</v>
      </c>
      <c r="E344" t="s">
        <v>40</v>
      </c>
      <c r="F344" s="5">
        <v>1</v>
      </c>
      <c r="G344">
        <v>180</v>
      </c>
      <c r="H344" s="4">
        <v>0</v>
      </c>
      <c r="I344" s="6">
        <v>180</v>
      </c>
      <c r="J344" s="6">
        <v>50.4</v>
      </c>
      <c r="K344" t="s">
        <v>55</v>
      </c>
      <c r="L344" t="s">
        <v>24</v>
      </c>
      <c r="M344" t="s">
        <v>19</v>
      </c>
      <c r="N344" t="s">
        <v>59</v>
      </c>
    </row>
    <row r="345" spans="1:14" x14ac:dyDescent="0.3">
      <c r="A345">
        <v>1344</v>
      </c>
      <c r="B345" s="3">
        <v>46255</v>
      </c>
      <c r="C345" t="s">
        <v>213</v>
      </c>
      <c r="D345" t="s">
        <v>75</v>
      </c>
      <c r="E345" t="s">
        <v>40</v>
      </c>
      <c r="F345" s="5">
        <v>3</v>
      </c>
      <c r="G345">
        <v>180</v>
      </c>
      <c r="H345" s="4">
        <v>0</v>
      </c>
      <c r="I345" s="6">
        <v>540</v>
      </c>
      <c r="J345" s="6">
        <v>151.19999999999999</v>
      </c>
      <c r="K345" t="s">
        <v>57</v>
      </c>
      <c r="L345" t="s">
        <v>58</v>
      </c>
      <c r="M345" t="s">
        <v>19</v>
      </c>
      <c r="N345" t="s">
        <v>59</v>
      </c>
    </row>
    <row r="346" spans="1:14" x14ac:dyDescent="0.3">
      <c r="A346">
        <v>1345</v>
      </c>
      <c r="B346" s="3">
        <v>46055</v>
      </c>
      <c r="C346" t="s">
        <v>106</v>
      </c>
      <c r="D346" t="s">
        <v>28</v>
      </c>
      <c r="E346" t="s">
        <v>16</v>
      </c>
      <c r="F346" s="5">
        <v>4</v>
      </c>
      <c r="G346">
        <v>16000</v>
      </c>
      <c r="H346" s="4">
        <v>0.05</v>
      </c>
      <c r="I346" s="6">
        <v>60800</v>
      </c>
      <c r="J346" s="6">
        <v>14720</v>
      </c>
      <c r="K346" t="s">
        <v>55</v>
      </c>
      <c r="L346" t="s">
        <v>24</v>
      </c>
      <c r="M346" t="s">
        <v>43</v>
      </c>
      <c r="N346" t="s">
        <v>59</v>
      </c>
    </row>
    <row r="347" spans="1:14" x14ac:dyDescent="0.3">
      <c r="A347">
        <v>1346</v>
      </c>
      <c r="B347" s="3">
        <v>46168</v>
      </c>
      <c r="C347" t="s">
        <v>214</v>
      </c>
      <c r="D347" t="s">
        <v>31</v>
      </c>
      <c r="E347" t="s">
        <v>32</v>
      </c>
      <c r="F347" s="5">
        <v>5</v>
      </c>
      <c r="G347">
        <v>12000</v>
      </c>
      <c r="H347" s="4">
        <v>0.05</v>
      </c>
      <c r="I347" s="6">
        <v>57000</v>
      </c>
      <c r="J347" s="6">
        <v>13800</v>
      </c>
      <c r="K347" t="s">
        <v>35</v>
      </c>
      <c r="L347" t="s">
        <v>36</v>
      </c>
      <c r="M347" t="s">
        <v>19</v>
      </c>
      <c r="N347" t="s">
        <v>20</v>
      </c>
    </row>
    <row r="348" spans="1:14" x14ac:dyDescent="0.3">
      <c r="A348">
        <v>1347</v>
      </c>
      <c r="B348" s="3">
        <v>46046</v>
      </c>
      <c r="C348" t="s">
        <v>148</v>
      </c>
      <c r="D348" t="s">
        <v>34</v>
      </c>
      <c r="E348" t="s">
        <v>16</v>
      </c>
      <c r="F348" s="5">
        <v>6</v>
      </c>
      <c r="G348">
        <v>22000</v>
      </c>
      <c r="H348" s="4">
        <v>0.15</v>
      </c>
      <c r="I348" s="6">
        <v>112200</v>
      </c>
      <c r="J348" s="6">
        <v>17160</v>
      </c>
      <c r="K348" t="s">
        <v>23</v>
      </c>
      <c r="L348" t="s">
        <v>24</v>
      </c>
      <c r="M348" t="s">
        <v>43</v>
      </c>
      <c r="N348" t="s">
        <v>37</v>
      </c>
    </row>
    <row r="349" spans="1:14" x14ac:dyDescent="0.3">
      <c r="A349">
        <v>1348</v>
      </c>
      <c r="B349" s="3">
        <v>46023</v>
      </c>
      <c r="C349" t="s">
        <v>215</v>
      </c>
      <c r="D349" t="s">
        <v>39</v>
      </c>
      <c r="E349" t="s">
        <v>40</v>
      </c>
      <c r="F349" s="5">
        <v>2</v>
      </c>
      <c r="G349">
        <v>120</v>
      </c>
      <c r="H349" s="4">
        <v>0.05</v>
      </c>
      <c r="I349" s="6">
        <v>228</v>
      </c>
      <c r="J349" s="6">
        <v>55.2</v>
      </c>
      <c r="K349" t="s">
        <v>67</v>
      </c>
      <c r="L349" t="s">
        <v>58</v>
      </c>
      <c r="M349" t="s">
        <v>25</v>
      </c>
      <c r="N349" t="s">
        <v>59</v>
      </c>
    </row>
    <row r="350" spans="1:14" x14ac:dyDescent="0.3">
      <c r="A350">
        <v>1349</v>
      </c>
      <c r="B350" s="3">
        <v>46151</v>
      </c>
      <c r="C350" t="s">
        <v>151</v>
      </c>
      <c r="D350" t="s">
        <v>34</v>
      </c>
      <c r="E350" t="s">
        <v>16</v>
      </c>
      <c r="F350" s="5">
        <v>3</v>
      </c>
      <c r="G350">
        <v>22000</v>
      </c>
      <c r="H350" s="4">
        <v>0.05</v>
      </c>
      <c r="I350" s="6">
        <v>62700</v>
      </c>
      <c r="J350" s="6">
        <v>15180</v>
      </c>
      <c r="K350" t="s">
        <v>23</v>
      </c>
      <c r="L350" t="s">
        <v>24</v>
      </c>
      <c r="M350" t="s">
        <v>19</v>
      </c>
      <c r="N350" t="s">
        <v>29</v>
      </c>
    </row>
    <row r="351" spans="1:14" x14ac:dyDescent="0.3">
      <c r="A351">
        <v>1350</v>
      </c>
      <c r="B351" s="3">
        <v>46242</v>
      </c>
      <c r="C351" t="s">
        <v>106</v>
      </c>
      <c r="D351" t="s">
        <v>34</v>
      </c>
      <c r="E351" t="s">
        <v>16</v>
      </c>
      <c r="F351" s="5">
        <v>6</v>
      </c>
      <c r="G351">
        <v>22000</v>
      </c>
      <c r="H351" s="4">
        <v>0</v>
      </c>
      <c r="I351" s="6">
        <v>132000</v>
      </c>
      <c r="J351" s="6">
        <v>36960</v>
      </c>
      <c r="K351" t="s">
        <v>23</v>
      </c>
      <c r="L351" t="s">
        <v>24</v>
      </c>
      <c r="M351" t="s">
        <v>25</v>
      </c>
      <c r="N351" t="s">
        <v>29</v>
      </c>
    </row>
    <row r="352" spans="1:14" x14ac:dyDescent="0.3">
      <c r="A352">
        <v>1351</v>
      </c>
      <c r="B352" s="3">
        <v>46138</v>
      </c>
      <c r="C352" t="s">
        <v>115</v>
      </c>
      <c r="D352" t="s">
        <v>28</v>
      </c>
      <c r="E352" t="s">
        <v>16</v>
      </c>
      <c r="F352" s="5">
        <v>6</v>
      </c>
      <c r="G352">
        <v>16000</v>
      </c>
      <c r="H352" s="4">
        <v>0.15</v>
      </c>
      <c r="I352" s="6">
        <v>81600</v>
      </c>
      <c r="J352" s="6">
        <v>12480</v>
      </c>
      <c r="K352" t="s">
        <v>23</v>
      </c>
      <c r="L352" t="s">
        <v>24</v>
      </c>
      <c r="M352" t="s">
        <v>25</v>
      </c>
      <c r="N352" t="s">
        <v>37</v>
      </c>
    </row>
    <row r="353" spans="1:14" x14ac:dyDescent="0.3">
      <c r="A353">
        <v>1352</v>
      </c>
      <c r="B353" s="3">
        <v>46090</v>
      </c>
      <c r="C353" t="s">
        <v>131</v>
      </c>
      <c r="D353" t="s">
        <v>75</v>
      </c>
      <c r="E353" t="s">
        <v>40</v>
      </c>
      <c r="F353" s="5">
        <v>1</v>
      </c>
      <c r="G353">
        <v>180</v>
      </c>
      <c r="H353" s="4">
        <v>0.05</v>
      </c>
      <c r="I353" s="6">
        <v>171</v>
      </c>
      <c r="J353" s="6">
        <v>41.4</v>
      </c>
      <c r="K353" t="s">
        <v>55</v>
      </c>
      <c r="L353" t="s">
        <v>24</v>
      </c>
      <c r="M353" t="s">
        <v>25</v>
      </c>
      <c r="N353" t="s">
        <v>59</v>
      </c>
    </row>
    <row r="354" spans="1:14" x14ac:dyDescent="0.3">
      <c r="A354">
        <v>1353</v>
      </c>
      <c r="B354" s="3">
        <v>46211</v>
      </c>
      <c r="C354" t="s">
        <v>105</v>
      </c>
      <c r="D354" t="s">
        <v>51</v>
      </c>
      <c r="E354" t="s">
        <v>32</v>
      </c>
      <c r="F354" s="5">
        <v>2</v>
      </c>
      <c r="G354">
        <v>9000</v>
      </c>
      <c r="H354" s="4">
        <v>0.15</v>
      </c>
      <c r="I354" s="6">
        <v>15300</v>
      </c>
      <c r="J354" s="6">
        <v>2340</v>
      </c>
      <c r="K354" t="s">
        <v>47</v>
      </c>
      <c r="L354" t="s">
        <v>18</v>
      </c>
      <c r="M354" t="s">
        <v>25</v>
      </c>
      <c r="N354" t="s">
        <v>26</v>
      </c>
    </row>
    <row r="355" spans="1:14" x14ac:dyDescent="0.3">
      <c r="A355">
        <v>1354</v>
      </c>
      <c r="B355" s="3">
        <v>46027</v>
      </c>
      <c r="C355" t="s">
        <v>210</v>
      </c>
      <c r="D355" t="s">
        <v>22</v>
      </c>
      <c r="E355" t="s">
        <v>16</v>
      </c>
      <c r="F355" s="5">
        <v>6</v>
      </c>
      <c r="G355">
        <v>1800</v>
      </c>
      <c r="H355" s="4">
        <v>0.05</v>
      </c>
      <c r="I355" s="6">
        <v>10260</v>
      </c>
      <c r="J355" s="6">
        <v>2484</v>
      </c>
      <c r="K355" t="s">
        <v>61</v>
      </c>
      <c r="L355" t="s">
        <v>24</v>
      </c>
      <c r="M355" t="s">
        <v>19</v>
      </c>
      <c r="N355" t="s">
        <v>29</v>
      </c>
    </row>
    <row r="356" spans="1:14" x14ac:dyDescent="0.3">
      <c r="A356">
        <v>1355</v>
      </c>
      <c r="B356" s="3">
        <v>46233</v>
      </c>
      <c r="C356" t="s">
        <v>131</v>
      </c>
      <c r="D356" t="s">
        <v>22</v>
      </c>
      <c r="E356" t="s">
        <v>16</v>
      </c>
      <c r="F356" s="5">
        <v>6</v>
      </c>
      <c r="G356">
        <v>1800</v>
      </c>
      <c r="H356" s="4">
        <v>0.15</v>
      </c>
      <c r="I356" s="6">
        <v>9180</v>
      </c>
      <c r="J356" s="6">
        <v>1404</v>
      </c>
      <c r="K356" t="s">
        <v>17</v>
      </c>
      <c r="L356" t="s">
        <v>18</v>
      </c>
      <c r="M356" t="s">
        <v>25</v>
      </c>
      <c r="N356" t="s">
        <v>20</v>
      </c>
    </row>
    <row r="357" spans="1:14" x14ac:dyDescent="0.3">
      <c r="A357">
        <v>1356</v>
      </c>
      <c r="B357" s="3">
        <v>46219</v>
      </c>
      <c r="C357" t="s">
        <v>72</v>
      </c>
      <c r="D357" t="s">
        <v>31</v>
      </c>
      <c r="E357" t="s">
        <v>32</v>
      </c>
      <c r="F357" s="5">
        <v>4</v>
      </c>
      <c r="G357">
        <v>12000</v>
      </c>
      <c r="H357" s="4">
        <v>0.1</v>
      </c>
      <c r="I357" s="6">
        <v>43200</v>
      </c>
      <c r="J357" s="6">
        <v>8640</v>
      </c>
      <c r="K357" t="s">
        <v>47</v>
      </c>
      <c r="L357" t="s">
        <v>18</v>
      </c>
      <c r="M357" t="s">
        <v>19</v>
      </c>
      <c r="N357" t="s">
        <v>20</v>
      </c>
    </row>
    <row r="358" spans="1:14" x14ac:dyDescent="0.3">
      <c r="A358">
        <v>1357</v>
      </c>
      <c r="B358" s="3">
        <v>46150</v>
      </c>
      <c r="C358" t="s">
        <v>96</v>
      </c>
      <c r="D358" t="s">
        <v>28</v>
      </c>
      <c r="E358" t="s">
        <v>16</v>
      </c>
      <c r="F358" s="5">
        <v>5</v>
      </c>
      <c r="G358">
        <v>16000</v>
      </c>
      <c r="H358" s="4">
        <v>0.1</v>
      </c>
      <c r="I358" s="6">
        <v>72000</v>
      </c>
      <c r="J358" s="6">
        <v>14400</v>
      </c>
      <c r="K358" t="s">
        <v>23</v>
      </c>
      <c r="L358" t="s">
        <v>24</v>
      </c>
      <c r="M358" t="s">
        <v>25</v>
      </c>
      <c r="N358" t="s">
        <v>26</v>
      </c>
    </row>
    <row r="359" spans="1:14" x14ac:dyDescent="0.3">
      <c r="A359">
        <v>1358</v>
      </c>
      <c r="B359" s="3">
        <v>46283</v>
      </c>
      <c r="C359" t="s">
        <v>116</v>
      </c>
      <c r="D359" t="s">
        <v>42</v>
      </c>
      <c r="E359" t="s">
        <v>16</v>
      </c>
      <c r="F359" s="5">
        <v>6</v>
      </c>
      <c r="G359">
        <v>14000</v>
      </c>
      <c r="H359" s="4">
        <v>0.15</v>
      </c>
      <c r="I359" s="6">
        <v>71400</v>
      </c>
      <c r="J359" s="6">
        <v>10920</v>
      </c>
      <c r="K359" t="s">
        <v>67</v>
      </c>
      <c r="L359" t="s">
        <v>58</v>
      </c>
      <c r="M359" t="s">
        <v>25</v>
      </c>
      <c r="N359" t="s">
        <v>37</v>
      </c>
    </row>
    <row r="360" spans="1:14" x14ac:dyDescent="0.3">
      <c r="A360">
        <v>1359</v>
      </c>
      <c r="B360" s="3">
        <v>46220</v>
      </c>
      <c r="C360" t="s">
        <v>216</v>
      </c>
      <c r="D360" t="s">
        <v>34</v>
      </c>
      <c r="E360" t="s">
        <v>16</v>
      </c>
      <c r="F360" s="5">
        <v>2</v>
      </c>
      <c r="G360">
        <v>22000</v>
      </c>
      <c r="H360" s="4">
        <v>0.15</v>
      </c>
      <c r="I360" s="6">
        <v>37400</v>
      </c>
      <c r="J360" s="6">
        <v>5720</v>
      </c>
      <c r="K360" t="s">
        <v>35</v>
      </c>
      <c r="L360" t="s">
        <v>36</v>
      </c>
      <c r="M360" t="s">
        <v>43</v>
      </c>
      <c r="N360" t="s">
        <v>59</v>
      </c>
    </row>
    <row r="361" spans="1:14" x14ac:dyDescent="0.3">
      <c r="A361">
        <v>1360</v>
      </c>
      <c r="B361" s="3">
        <v>46090</v>
      </c>
      <c r="C361" t="s">
        <v>81</v>
      </c>
      <c r="D361" t="s">
        <v>39</v>
      </c>
      <c r="E361" t="s">
        <v>40</v>
      </c>
      <c r="F361" s="5">
        <v>5</v>
      </c>
      <c r="G361">
        <v>120</v>
      </c>
      <c r="H361" s="4">
        <v>0.15</v>
      </c>
      <c r="I361" s="6">
        <v>510</v>
      </c>
      <c r="J361" s="6">
        <v>78</v>
      </c>
      <c r="K361" t="s">
        <v>78</v>
      </c>
      <c r="L361" t="s">
        <v>36</v>
      </c>
      <c r="M361" t="s">
        <v>43</v>
      </c>
      <c r="N361" t="s">
        <v>20</v>
      </c>
    </row>
    <row r="362" spans="1:14" x14ac:dyDescent="0.3">
      <c r="A362">
        <v>1361</v>
      </c>
      <c r="B362" s="3">
        <v>46031</v>
      </c>
      <c r="C362" t="s">
        <v>187</v>
      </c>
      <c r="D362" t="s">
        <v>22</v>
      </c>
      <c r="E362" t="s">
        <v>16</v>
      </c>
      <c r="F362" s="5">
        <v>1</v>
      </c>
      <c r="G362">
        <v>1800</v>
      </c>
      <c r="H362" s="4">
        <v>0</v>
      </c>
      <c r="I362" s="6">
        <v>1800</v>
      </c>
      <c r="J362" s="6">
        <v>504</v>
      </c>
      <c r="K362" t="s">
        <v>67</v>
      </c>
      <c r="L362" t="s">
        <v>58</v>
      </c>
      <c r="M362" t="s">
        <v>25</v>
      </c>
      <c r="N362" t="s">
        <v>37</v>
      </c>
    </row>
    <row r="363" spans="1:14" x14ac:dyDescent="0.3">
      <c r="A363">
        <v>1362</v>
      </c>
      <c r="B363" s="3">
        <v>46282</v>
      </c>
      <c r="C363" t="s">
        <v>118</v>
      </c>
      <c r="D363" t="s">
        <v>51</v>
      </c>
      <c r="E363" t="s">
        <v>32</v>
      </c>
      <c r="F363" s="5">
        <v>6</v>
      </c>
      <c r="G363">
        <v>9000</v>
      </c>
      <c r="H363" s="4">
        <v>0.15</v>
      </c>
      <c r="I363" s="6">
        <v>45900</v>
      </c>
      <c r="J363" s="6">
        <v>7020</v>
      </c>
      <c r="K363" t="s">
        <v>55</v>
      </c>
      <c r="L363" t="s">
        <v>24</v>
      </c>
      <c r="M363" t="s">
        <v>25</v>
      </c>
      <c r="N363" t="s">
        <v>26</v>
      </c>
    </row>
    <row r="364" spans="1:14" x14ac:dyDescent="0.3">
      <c r="A364">
        <v>1363</v>
      </c>
      <c r="B364" s="3">
        <v>46101</v>
      </c>
      <c r="C364" t="s">
        <v>171</v>
      </c>
      <c r="D364" t="s">
        <v>51</v>
      </c>
      <c r="E364" t="s">
        <v>32</v>
      </c>
      <c r="F364" s="5">
        <v>1</v>
      </c>
      <c r="G364">
        <v>9000</v>
      </c>
      <c r="H364" s="4">
        <v>0.1</v>
      </c>
      <c r="I364" s="6">
        <v>8100</v>
      </c>
      <c r="J364" s="6">
        <v>1620</v>
      </c>
      <c r="K364" t="s">
        <v>57</v>
      </c>
      <c r="L364" t="s">
        <v>58</v>
      </c>
      <c r="M364" t="s">
        <v>25</v>
      </c>
      <c r="N364" t="s">
        <v>26</v>
      </c>
    </row>
    <row r="365" spans="1:14" x14ac:dyDescent="0.3">
      <c r="A365">
        <v>1364</v>
      </c>
      <c r="B365" s="3">
        <v>46190</v>
      </c>
      <c r="C365" t="s">
        <v>110</v>
      </c>
      <c r="D365" t="s">
        <v>39</v>
      </c>
      <c r="E365" t="s">
        <v>40</v>
      </c>
      <c r="F365" s="5">
        <v>5</v>
      </c>
      <c r="G365">
        <v>120</v>
      </c>
      <c r="H365" s="4">
        <v>0</v>
      </c>
      <c r="I365" s="6">
        <v>600</v>
      </c>
      <c r="J365" s="6">
        <v>168</v>
      </c>
      <c r="K365" t="s">
        <v>67</v>
      </c>
      <c r="L365" t="s">
        <v>58</v>
      </c>
      <c r="M365" t="s">
        <v>19</v>
      </c>
      <c r="N365" t="s">
        <v>29</v>
      </c>
    </row>
    <row r="366" spans="1:14" x14ac:dyDescent="0.3">
      <c r="A366">
        <v>1365</v>
      </c>
      <c r="B366" s="3">
        <v>46052</v>
      </c>
      <c r="C366" t="s">
        <v>137</v>
      </c>
      <c r="D366" t="s">
        <v>42</v>
      </c>
      <c r="E366" t="s">
        <v>16</v>
      </c>
      <c r="F366" s="5">
        <v>1</v>
      </c>
      <c r="G366">
        <v>14000</v>
      </c>
      <c r="H366" s="4">
        <v>0.15</v>
      </c>
      <c r="I366" s="6">
        <v>11900</v>
      </c>
      <c r="J366" s="6">
        <v>1820</v>
      </c>
      <c r="K366" t="s">
        <v>57</v>
      </c>
      <c r="L366" t="s">
        <v>58</v>
      </c>
      <c r="M366" t="s">
        <v>43</v>
      </c>
      <c r="N366" t="s">
        <v>29</v>
      </c>
    </row>
    <row r="367" spans="1:14" x14ac:dyDescent="0.3">
      <c r="A367">
        <v>1366</v>
      </c>
      <c r="B367" s="3">
        <v>46084</v>
      </c>
      <c r="C367" t="s">
        <v>130</v>
      </c>
      <c r="D367" t="s">
        <v>15</v>
      </c>
      <c r="E367" t="s">
        <v>16</v>
      </c>
      <c r="F367" s="5">
        <v>6</v>
      </c>
      <c r="G367">
        <v>55000</v>
      </c>
      <c r="H367" s="4">
        <v>0.05</v>
      </c>
      <c r="I367" s="6">
        <v>313500</v>
      </c>
      <c r="J367" s="6">
        <v>75900</v>
      </c>
      <c r="K367" t="s">
        <v>23</v>
      </c>
      <c r="L367" t="s">
        <v>24</v>
      </c>
      <c r="M367" t="s">
        <v>43</v>
      </c>
      <c r="N367" t="s">
        <v>26</v>
      </c>
    </row>
    <row r="368" spans="1:14" x14ac:dyDescent="0.3">
      <c r="A368">
        <v>1367</v>
      </c>
      <c r="B368" s="3">
        <v>46287</v>
      </c>
      <c r="C368" t="s">
        <v>86</v>
      </c>
      <c r="D368" t="s">
        <v>51</v>
      </c>
      <c r="E368" t="s">
        <v>32</v>
      </c>
      <c r="F368" s="5">
        <v>2</v>
      </c>
      <c r="G368">
        <v>9000</v>
      </c>
      <c r="H368" s="4">
        <v>0.1</v>
      </c>
      <c r="I368" s="6">
        <v>16200</v>
      </c>
      <c r="J368" s="6">
        <v>3240</v>
      </c>
      <c r="K368" t="s">
        <v>47</v>
      </c>
      <c r="L368" t="s">
        <v>18</v>
      </c>
      <c r="M368" t="s">
        <v>19</v>
      </c>
      <c r="N368" t="s">
        <v>20</v>
      </c>
    </row>
    <row r="369" spans="1:14" x14ac:dyDescent="0.3">
      <c r="A369">
        <v>1368</v>
      </c>
      <c r="B369" s="3">
        <v>46038</v>
      </c>
      <c r="C369" t="s">
        <v>217</v>
      </c>
      <c r="D369" t="s">
        <v>31</v>
      </c>
      <c r="E369" t="s">
        <v>32</v>
      </c>
      <c r="F369" s="5">
        <v>4</v>
      </c>
      <c r="G369">
        <v>12000</v>
      </c>
      <c r="H369" s="4">
        <v>0.1</v>
      </c>
      <c r="I369" s="6">
        <v>43200</v>
      </c>
      <c r="J369" s="6">
        <v>8640</v>
      </c>
      <c r="K369" t="s">
        <v>52</v>
      </c>
      <c r="L369" t="s">
        <v>24</v>
      </c>
      <c r="M369" t="s">
        <v>19</v>
      </c>
      <c r="N369" t="s">
        <v>26</v>
      </c>
    </row>
    <row r="370" spans="1:14" x14ac:dyDescent="0.3">
      <c r="A370">
        <v>1369</v>
      </c>
      <c r="B370" s="3">
        <v>46062</v>
      </c>
      <c r="C370" t="s">
        <v>179</v>
      </c>
      <c r="D370" t="s">
        <v>75</v>
      </c>
      <c r="E370" t="s">
        <v>40</v>
      </c>
      <c r="F370" s="5">
        <v>4</v>
      </c>
      <c r="G370">
        <v>180</v>
      </c>
      <c r="H370" s="4">
        <v>0.1</v>
      </c>
      <c r="I370" s="6">
        <v>648</v>
      </c>
      <c r="J370" s="6">
        <v>129.6</v>
      </c>
      <c r="K370" t="s">
        <v>23</v>
      </c>
      <c r="L370" t="s">
        <v>24</v>
      </c>
      <c r="M370" t="s">
        <v>43</v>
      </c>
      <c r="N370" t="s">
        <v>29</v>
      </c>
    </row>
    <row r="371" spans="1:14" x14ac:dyDescent="0.3">
      <c r="A371">
        <v>1370</v>
      </c>
      <c r="B371" s="3">
        <v>46153</v>
      </c>
      <c r="C371" t="s">
        <v>122</v>
      </c>
      <c r="D371" t="s">
        <v>34</v>
      </c>
      <c r="E371" t="s">
        <v>16</v>
      </c>
      <c r="F371" s="5">
        <v>5</v>
      </c>
      <c r="G371">
        <v>22000</v>
      </c>
      <c r="H371" s="4">
        <v>0</v>
      </c>
      <c r="I371" s="6">
        <v>110000</v>
      </c>
      <c r="J371" s="6">
        <v>30800</v>
      </c>
      <c r="K371" t="s">
        <v>17</v>
      </c>
      <c r="L371" t="s">
        <v>18</v>
      </c>
      <c r="M371" t="s">
        <v>25</v>
      </c>
      <c r="N371" t="s">
        <v>20</v>
      </c>
    </row>
    <row r="372" spans="1:14" x14ac:dyDescent="0.3">
      <c r="A372">
        <v>1371</v>
      </c>
      <c r="B372" s="3">
        <v>46148</v>
      </c>
      <c r="C372" t="s">
        <v>121</v>
      </c>
      <c r="D372" t="s">
        <v>15</v>
      </c>
      <c r="E372" t="s">
        <v>16</v>
      </c>
      <c r="F372" s="5">
        <v>4</v>
      </c>
      <c r="G372">
        <v>55000</v>
      </c>
      <c r="H372" s="4">
        <v>0.1</v>
      </c>
      <c r="I372" s="6">
        <v>198000</v>
      </c>
      <c r="J372" s="6">
        <v>39600</v>
      </c>
      <c r="K372" t="s">
        <v>55</v>
      </c>
      <c r="L372" t="s">
        <v>24</v>
      </c>
      <c r="M372" t="s">
        <v>25</v>
      </c>
      <c r="N372" t="s">
        <v>26</v>
      </c>
    </row>
    <row r="373" spans="1:14" x14ac:dyDescent="0.3">
      <c r="A373">
        <v>1372</v>
      </c>
      <c r="B373" s="3">
        <v>46237</v>
      </c>
      <c r="C373" t="s">
        <v>158</v>
      </c>
      <c r="D373" t="s">
        <v>42</v>
      </c>
      <c r="E373" t="s">
        <v>16</v>
      </c>
      <c r="F373" s="5">
        <v>3</v>
      </c>
      <c r="G373">
        <v>14000</v>
      </c>
      <c r="H373" s="4">
        <v>0.05</v>
      </c>
      <c r="I373" s="6">
        <v>39900</v>
      </c>
      <c r="J373" s="6">
        <v>9660</v>
      </c>
      <c r="K373" t="s">
        <v>55</v>
      </c>
      <c r="L373" t="s">
        <v>24</v>
      </c>
      <c r="M373" t="s">
        <v>43</v>
      </c>
      <c r="N373" t="s">
        <v>20</v>
      </c>
    </row>
    <row r="374" spans="1:14" x14ac:dyDescent="0.3">
      <c r="A374">
        <v>1373</v>
      </c>
      <c r="B374" s="3">
        <v>46213</v>
      </c>
      <c r="C374" t="s">
        <v>14</v>
      </c>
      <c r="D374" t="s">
        <v>34</v>
      </c>
      <c r="E374" t="s">
        <v>16</v>
      </c>
      <c r="F374" s="5">
        <v>5</v>
      </c>
      <c r="G374">
        <v>22000</v>
      </c>
      <c r="H374" s="4">
        <v>0</v>
      </c>
      <c r="I374" s="6">
        <v>110000</v>
      </c>
      <c r="J374" s="6">
        <v>30800</v>
      </c>
      <c r="K374" t="s">
        <v>47</v>
      </c>
      <c r="L374" t="s">
        <v>18</v>
      </c>
      <c r="M374" t="s">
        <v>43</v>
      </c>
      <c r="N374" t="s">
        <v>20</v>
      </c>
    </row>
    <row r="375" spans="1:14" x14ac:dyDescent="0.3">
      <c r="A375">
        <v>1374</v>
      </c>
      <c r="B375" s="3">
        <v>46261</v>
      </c>
      <c r="C375" t="s">
        <v>123</v>
      </c>
      <c r="D375" t="s">
        <v>51</v>
      </c>
      <c r="E375" t="s">
        <v>32</v>
      </c>
      <c r="F375" s="5">
        <v>3</v>
      </c>
      <c r="G375">
        <v>9000</v>
      </c>
      <c r="H375" s="4">
        <v>0.1</v>
      </c>
      <c r="I375" s="6">
        <v>24300</v>
      </c>
      <c r="J375" s="6">
        <v>4860</v>
      </c>
      <c r="K375" t="s">
        <v>57</v>
      </c>
      <c r="L375" t="s">
        <v>58</v>
      </c>
      <c r="M375" t="s">
        <v>25</v>
      </c>
      <c r="N375" t="s">
        <v>59</v>
      </c>
    </row>
    <row r="376" spans="1:14" x14ac:dyDescent="0.3">
      <c r="A376">
        <v>1375</v>
      </c>
      <c r="B376" s="3">
        <v>46125</v>
      </c>
      <c r="C376" t="s">
        <v>199</v>
      </c>
      <c r="D376" t="s">
        <v>51</v>
      </c>
      <c r="E376" t="s">
        <v>32</v>
      </c>
      <c r="F376" s="5">
        <v>5</v>
      </c>
      <c r="G376">
        <v>9000</v>
      </c>
      <c r="H376" s="4">
        <v>0.1</v>
      </c>
      <c r="I376" s="6">
        <v>40500</v>
      </c>
      <c r="J376" s="6">
        <v>8100</v>
      </c>
      <c r="K376" t="s">
        <v>35</v>
      </c>
      <c r="L376" t="s">
        <v>36</v>
      </c>
      <c r="M376" t="s">
        <v>43</v>
      </c>
      <c r="N376" t="s">
        <v>26</v>
      </c>
    </row>
    <row r="377" spans="1:14" x14ac:dyDescent="0.3">
      <c r="A377">
        <v>1376</v>
      </c>
      <c r="B377" s="3">
        <v>46275</v>
      </c>
      <c r="C377" t="s">
        <v>204</v>
      </c>
      <c r="D377" t="s">
        <v>42</v>
      </c>
      <c r="E377" t="s">
        <v>16</v>
      </c>
      <c r="F377" s="5">
        <v>6</v>
      </c>
      <c r="G377">
        <v>14000</v>
      </c>
      <c r="H377" s="4">
        <v>0.05</v>
      </c>
      <c r="I377" s="6">
        <v>79800</v>
      </c>
      <c r="J377" s="6">
        <v>19320</v>
      </c>
      <c r="K377" t="s">
        <v>47</v>
      </c>
      <c r="L377" t="s">
        <v>18</v>
      </c>
      <c r="M377" t="s">
        <v>25</v>
      </c>
      <c r="N377" t="s">
        <v>29</v>
      </c>
    </row>
    <row r="378" spans="1:14" x14ac:dyDescent="0.3">
      <c r="A378">
        <v>1377</v>
      </c>
      <c r="B378" s="3">
        <v>46200</v>
      </c>
      <c r="C378" t="s">
        <v>127</v>
      </c>
      <c r="D378" t="s">
        <v>15</v>
      </c>
      <c r="E378" t="s">
        <v>16</v>
      </c>
      <c r="F378" s="5">
        <v>3</v>
      </c>
      <c r="G378">
        <v>55000</v>
      </c>
      <c r="H378" s="4">
        <v>0</v>
      </c>
      <c r="I378" s="6">
        <v>165000</v>
      </c>
      <c r="J378" s="6">
        <v>46200</v>
      </c>
      <c r="K378" t="s">
        <v>55</v>
      </c>
      <c r="L378" t="s">
        <v>24</v>
      </c>
      <c r="M378" t="s">
        <v>25</v>
      </c>
      <c r="N378" t="s">
        <v>29</v>
      </c>
    </row>
    <row r="379" spans="1:14" x14ac:dyDescent="0.3">
      <c r="A379">
        <v>1378</v>
      </c>
      <c r="B379" s="3">
        <v>46294</v>
      </c>
      <c r="C379" t="s">
        <v>212</v>
      </c>
      <c r="D379" t="s">
        <v>42</v>
      </c>
      <c r="E379" t="s">
        <v>16</v>
      </c>
      <c r="F379" s="5">
        <v>4</v>
      </c>
      <c r="G379">
        <v>14000</v>
      </c>
      <c r="H379" s="4">
        <v>0.15</v>
      </c>
      <c r="I379" s="6">
        <v>47600</v>
      </c>
      <c r="J379" s="6">
        <v>7280</v>
      </c>
      <c r="K379" t="s">
        <v>23</v>
      </c>
      <c r="L379" t="s">
        <v>24</v>
      </c>
      <c r="M379" t="s">
        <v>25</v>
      </c>
      <c r="N379" t="s">
        <v>20</v>
      </c>
    </row>
    <row r="380" spans="1:14" x14ac:dyDescent="0.3">
      <c r="A380">
        <v>1379</v>
      </c>
      <c r="B380" s="3">
        <v>46141</v>
      </c>
      <c r="C380" t="s">
        <v>86</v>
      </c>
      <c r="D380" t="s">
        <v>28</v>
      </c>
      <c r="E380" t="s">
        <v>16</v>
      </c>
      <c r="F380" s="5">
        <v>4</v>
      </c>
      <c r="G380">
        <v>16000</v>
      </c>
      <c r="H380" s="4">
        <v>0.1</v>
      </c>
      <c r="I380" s="6">
        <v>57600</v>
      </c>
      <c r="J380" s="6">
        <v>11520</v>
      </c>
      <c r="K380" t="s">
        <v>61</v>
      </c>
      <c r="L380" t="s">
        <v>24</v>
      </c>
      <c r="M380" t="s">
        <v>19</v>
      </c>
      <c r="N380" t="s">
        <v>20</v>
      </c>
    </row>
    <row r="381" spans="1:14" x14ac:dyDescent="0.3">
      <c r="A381">
        <v>1380</v>
      </c>
      <c r="B381" s="3">
        <v>46281</v>
      </c>
      <c r="C381" t="s">
        <v>209</v>
      </c>
      <c r="D381" t="s">
        <v>45</v>
      </c>
      <c r="E381" t="s">
        <v>16</v>
      </c>
      <c r="F381" s="5">
        <v>6</v>
      </c>
      <c r="G381">
        <v>2500</v>
      </c>
      <c r="H381" s="4">
        <v>0.15</v>
      </c>
      <c r="I381" s="6">
        <v>12750</v>
      </c>
      <c r="J381" s="6">
        <v>1950</v>
      </c>
      <c r="K381" t="s">
        <v>57</v>
      </c>
      <c r="L381" t="s">
        <v>58</v>
      </c>
      <c r="M381" t="s">
        <v>43</v>
      </c>
      <c r="N381" t="s">
        <v>29</v>
      </c>
    </row>
    <row r="382" spans="1:14" x14ac:dyDescent="0.3">
      <c r="A382">
        <v>1381</v>
      </c>
      <c r="B382" s="3">
        <v>46144</v>
      </c>
      <c r="C382" t="s">
        <v>118</v>
      </c>
      <c r="D382" t="s">
        <v>51</v>
      </c>
      <c r="E382" t="s">
        <v>32</v>
      </c>
      <c r="F382" s="5">
        <v>3</v>
      </c>
      <c r="G382">
        <v>9000</v>
      </c>
      <c r="H382" s="4">
        <v>0.1</v>
      </c>
      <c r="I382" s="6">
        <v>24300</v>
      </c>
      <c r="J382" s="6">
        <v>4860</v>
      </c>
      <c r="K382" t="s">
        <v>55</v>
      </c>
      <c r="L382" t="s">
        <v>24</v>
      </c>
      <c r="M382" t="s">
        <v>43</v>
      </c>
      <c r="N382" t="s">
        <v>37</v>
      </c>
    </row>
    <row r="383" spans="1:14" x14ac:dyDescent="0.3">
      <c r="A383">
        <v>1382</v>
      </c>
      <c r="B383" s="3">
        <v>46162</v>
      </c>
      <c r="C383" t="s">
        <v>182</v>
      </c>
      <c r="D383" t="s">
        <v>42</v>
      </c>
      <c r="E383" t="s">
        <v>16</v>
      </c>
      <c r="F383" s="5">
        <v>1</v>
      </c>
      <c r="G383">
        <v>14000</v>
      </c>
      <c r="H383" s="4">
        <v>0.05</v>
      </c>
      <c r="I383" s="6">
        <v>13300</v>
      </c>
      <c r="J383" s="6">
        <v>3220</v>
      </c>
      <c r="K383" t="s">
        <v>47</v>
      </c>
      <c r="L383" t="s">
        <v>18</v>
      </c>
      <c r="M383" t="s">
        <v>25</v>
      </c>
      <c r="N383" t="s">
        <v>20</v>
      </c>
    </row>
    <row r="384" spans="1:14" x14ac:dyDescent="0.3">
      <c r="A384">
        <v>1383</v>
      </c>
      <c r="B384" s="3">
        <v>46107</v>
      </c>
      <c r="C384" t="s">
        <v>119</v>
      </c>
      <c r="D384" t="s">
        <v>75</v>
      </c>
      <c r="E384" t="s">
        <v>40</v>
      </c>
      <c r="F384" s="5">
        <v>4</v>
      </c>
      <c r="G384">
        <v>180</v>
      </c>
      <c r="H384" s="4">
        <v>0.1</v>
      </c>
      <c r="I384" s="6">
        <v>648</v>
      </c>
      <c r="J384" s="6">
        <v>129.6</v>
      </c>
      <c r="K384" t="s">
        <v>55</v>
      </c>
      <c r="L384" t="s">
        <v>24</v>
      </c>
      <c r="M384" t="s">
        <v>25</v>
      </c>
      <c r="N384" t="s">
        <v>37</v>
      </c>
    </row>
    <row r="385" spans="1:14" x14ac:dyDescent="0.3">
      <c r="A385">
        <v>1384</v>
      </c>
      <c r="B385" s="3">
        <v>46180</v>
      </c>
      <c r="C385" t="s">
        <v>215</v>
      </c>
      <c r="D385" t="s">
        <v>75</v>
      </c>
      <c r="E385" t="s">
        <v>40</v>
      </c>
      <c r="F385" s="5">
        <v>3</v>
      </c>
      <c r="G385">
        <v>180</v>
      </c>
      <c r="H385" s="4">
        <v>0</v>
      </c>
      <c r="I385" s="6">
        <v>540</v>
      </c>
      <c r="J385" s="6">
        <v>151.19999999999999</v>
      </c>
      <c r="K385" t="s">
        <v>57</v>
      </c>
      <c r="L385" t="s">
        <v>58</v>
      </c>
      <c r="M385" t="s">
        <v>19</v>
      </c>
      <c r="N385" t="s">
        <v>26</v>
      </c>
    </row>
    <row r="386" spans="1:14" x14ac:dyDescent="0.3">
      <c r="A386">
        <v>1385</v>
      </c>
      <c r="B386" s="3">
        <v>46043</v>
      </c>
      <c r="C386" t="s">
        <v>218</v>
      </c>
      <c r="D386" t="s">
        <v>42</v>
      </c>
      <c r="E386" t="s">
        <v>16</v>
      </c>
      <c r="F386" s="5">
        <v>3</v>
      </c>
      <c r="G386">
        <v>14000</v>
      </c>
      <c r="H386" s="4">
        <v>0.05</v>
      </c>
      <c r="I386" s="6">
        <v>39900</v>
      </c>
      <c r="J386" s="6">
        <v>9660</v>
      </c>
      <c r="K386" t="s">
        <v>57</v>
      </c>
      <c r="L386" t="s">
        <v>58</v>
      </c>
      <c r="M386" t="s">
        <v>43</v>
      </c>
      <c r="N386" t="s">
        <v>37</v>
      </c>
    </row>
    <row r="387" spans="1:14" x14ac:dyDescent="0.3">
      <c r="A387">
        <v>1386</v>
      </c>
      <c r="B387" s="3">
        <v>46285</v>
      </c>
      <c r="C387" t="s">
        <v>146</v>
      </c>
      <c r="D387" t="s">
        <v>15</v>
      </c>
      <c r="E387" t="s">
        <v>16</v>
      </c>
      <c r="F387" s="5">
        <v>6</v>
      </c>
      <c r="G387">
        <v>55000</v>
      </c>
      <c r="H387" s="4">
        <v>0.1</v>
      </c>
      <c r="I387" s="6">
        <v>297000</v>
      </c>
      <c r="J387" s="6">
        <v>59400</v>
      </c>
      <c r="K387" t="s">
        <v>67</v>
      </c>
      <c r="L387" t="s">
        <v>58</v>
      </c>
      <c r="M387" t="s">
        <v>43</v>
      </c>
      <c r="N387" t="s">
        <v>37</v>
      </c>
    </row>
    <row r="388" spans="1:14" x14ac:dyDescent="0.3">
      <c r="A388">
        <v>1387</v>
      </c>
      <c r="B388" s="3">
        <v>46150</v>
      </c>
      <c r="C388" t="s">
        <v>148</v>
      </c>
      <c r="D388" t="s">
        <v>34</v>
      </c>
      <c r="E388" t="s">
        <v>16</v>
      </c>
      <c r="F388" s="5">
        <v>4</v>
      </c>
      <c r="G388">
        <v>22000</v>
      </c>
      <c r="H388" s="4">
        <v>0</v>
      </c>
      <c r="I388" s="6">
        <v>88000</v>
      </c>
      <c r="J388" s="6">
        <v>24640</v>
      </c>
      <c r="K388" t="s">
        <v>47</v>
      </c>
      <c r="L388" t="s">
        <v>18</v>
      </c>
      <c r="M388" t="s">
        <v>25</v>
      </c>
      <c r="N388" t="s">
        <v>29</v>
      </c>
    </row>
    <row r="389" spans="1:14" x14ac:dyDescent="0.3">
      <c r="A389">
        <v>1388</v>
      </c>
      <c r="B389" s="3">
        <v>46089</v>
      </c>
      <c r="C389" t="s">
        <v>140</v>
      </c>
      <c r="D389" t="s">
        <v>42</v>
      </c>
      <c r="E389" t="s">
        <v>16</v>
      </c>
      <c r="F389" s="5">
        <v>4</v>
      </c>
      <c r="G389">
        <v>14000</v>
      </c>
      <c r="H389" s="4">
        <v>0.1</v>
      </c>
      <c r="I389" s="6">
        <v>50400</v>
      </c>
      <c r="J389" s="6">
        <v>10080</v>
      </c>
      <c r="K389" t="s">
        <v>57</v>
      </c>
      <c r="L389" t="s">
        <v>58</v>
      </c>
      <c r="M389" t="s">
        <v>25</v>
      </c>
      <c r="N389" t="s">
        <v>20</v>
      </c>
    </row>
    <row r="390" spans="1:14" x14ac:dyDescent="0.3">
      <c r="A390">
        <v>1389</v>
      </c>
      <c r="B390" s="3">
        <v>46056</v>
      </c>
      <c r="C390" t="s">
        <v>21</v>
      </c>
      <c r="D390" t="s">
        <v>42</v>
      </c>
      <c r="E390" t="s">
        <v>16</v>
      </c>
      <c r="F390" s="5">
        <v>6</v>
      </c>
      <c r="G390">
        <v>14000</v>
      </c>
      <c r="H390" s="4">
        <v>0.15</v>
      </c>
      <c r="I390" s="6">
        <v>71400</v>
      </c>
      <c r="J390" s="6">
        <v>10920</v>
      </c>
      <c r="K390" t="s">
        <v>47</v>
      </c>
      <c r="L390" t="s">
        <v>18</v>
      </c>
      <c r="M390" t="s">
        <v>25</v>
      </c>
      <c r="N390" t="s">
        <v>20</v>
      </c>
    </row>
    <row r="391" spans="1:14" x14ac:dyDescent="0.3">
      <c r="A391">
        <v>1390</v>
      </c>
      <c r="B391" s="3">
        <v>46259</v>
      </c>
      <c r="C391" t="s">
        <v>179</v>
      </c>
      <c r="D391" t="s">
        <v>15</v>
      </c>
      <c r="E391" t="s">
        <v>16</v>
      </c>
      <c r="F391" s="5">
        <v>2</v>
      </c>
      <c r="G391">
        <v>55000</v>
      </c>
      <c r="H391" s="4">
        <v>0.15</v>
      </c>
      <c r="I391" s="6">
        <v>93500</v>
      </c>
      <c r="J391" s="6">
        <v>14300</v>
      </c>
      <c r="K391" t="s">
        <v>55</v>
      </c>
      <c r="L391" t="s">
        <v>24</v>
      </c>
      <c r="M391" t="s">
        <v>43</v>
      </c>
      <c r="N391" t="s">
        <v>37</v>
      </c>
    </row>
    <row r="392" spans="1:14" x14ac:dyDescent="0.3">
      <c r="A392">
        <v>1391</v>
      </c>
      <c r="B392" s="3">
        <v>46111</v>
      </c>
      <c r="C392" t="s">
        <v>207</v>
      </c>
      <c r="D392" t="s">
        <v>31</v>
      </c>
      <c r="E392" t="s">
        <v>32</v>
      </c>
      <c r="F392" s="5">
        <v>2</v>
      </c>
      <c r="G392">
        <v>12000</v>
      </c>
      <c r="H392" s="4">
        <v>0.05</v>
      </c>
      <c r="I392" s="6">
        <v>22800</v>
      </c>
      <c r="J392" s="6">
        <v>5520</v>
      </c>
      <c r="K392" t="s">
        <v>67</v>
      </c>
      <c r="L392" t="s">
        <v>58</v>
      </c>
      <c r="M392" t="s">
        <v>25</v>
      </c>
      <c r="N392" t="s">
        <v>20</v>
      </c>
    </row>
    <row r="393" spans="1:14" x14ac:dyDescent="0.3">
      <c r="A393">
        <v>1392</v>
      </c>
      <c r="B393" s="3">
        <v>46148</v>
      </c>
      <c r="C393" t="s">
        <v>157</v>
      </c>
      <c r="D393" t="s">
        <v>51</v>
      </c>
      <c r="E393" t="s">
        <v>32</v>
      </c>
      <c r="F393" s="5">
        <v>4</v>
      </c>
      <c r="G393">
        <v>9000</v>
      </c>
      <c r="H393" s="4">
        <v>0.15</v>
      </c>
      <c r="I393" s="6">
        <v>30600</v>
      </c>
      <c r="J393" s="6">
        <v>4680</v>
      </c>
      <c r="K393" t="s">
        <v>52</v>
      </c>
      <c r="L393" t="s">
        <v>24</v>
      </c>
      <c r="M393" t="s">
        <v>25</v>
      </c>
      <c r="N393" t="s">
        <v>59</v>
      </c>
    </row>
    <row r="394" spans="1:14" x14ac:dyDescent="0.3">
      <c r="A394">
        <v>1393</v>
      </c>
      <c r="B394" s="3">
        <v>46219</v>
      </c>
      <c r="C394" t="s">
        <v>72</v>
      </c>
      <c r="D394" t="s">
        <v>45</v>
      </c>
      <c r="E394" t="s">
        <v>16</v>
      </c>
      <c r="F394" s="5">
        <v>4</v>
      </c>
      <c r="G394">
        <v>2500</v>
      </c>
      <c r="H394" s="4">
        <v>0.05</v>
      </c>
      <c r="I394" s="6">
        <v>9500</v>
      </c>
      <c r="J394" s="6">
        <v>2300</v>
      </c>
      <c r="K394" t="s">
        <v>52</v>
      </c>
      <c r="L394" t="s">
        <v>24</v>
      </c>
      <c r="M394" t="s">
        <v>43</v>
      </c>
      <c r="N394" t="s">
        <v>59</v>
      </c>
    </row>
    <row r="395" spans="1:14" x14ac:dyDescent="0.3">
      <c r="A395">
        <v>1394</v>
      </c>
      <c r="B395" s="3">
        <v>46268</v>
      </c>
      <c r="C395" t="s">
        <v>156</v>
      </c>
      <c r="D395" t="s">
        <v>28</v>
      </c>
      <c r="E395" t="s">
        <v>16</v>
      </c>
      <c r="F395" s="5">
        <v>4</v>
      </c>
      <c r="G395">
        <v>16000</v>
      </c>
      <c r="H395" s="4">
        <v>0.1</v>
      </c>
      <c r="I395" s="6">
        <v>57600</v>
      </c>
      <c r="J395" s="6">
        <v>11520</v>
      </c>
      <c r="K395" t="s">
        <v>35</v>
      </c>
      <c r="L395" t="s">
        <v>36</v>
      </c>
      <c r="M395" t="s">
        <v>43</v>
      </c>
      <c r="N395" t="s">
        <v>59</v>
      </c>
    </row>
    <row r="396" spans="1:14" x14ac:dyDescent="0.3">
      <c r="A396">
        <v>1395</v>
      </c>
      <c r="B396" s="3">
        <v>46115</v>
      </c>
      <c r="C396" t="s">
        <v>182</v>
      </c>
      <c r="D396" t="s">
        <v>15</v>
      </c>
      <c r="E396" t="s">
        <v>16</v>
      </c>
      <c r="F396" s="5">
        <v>3</v>
      </c>
      <c r="G396">
        <v>55000</v>
      </c>
      <c r="H396" s="4">
        <v>0.05</v>
      </c>
      <c r="I396" s="6">
        <v>156750</v>
      </c>
      <c r="J396" s="6">
        <v>37950</v>
      </c>
      <c r="K396" t="s">
        <v>23</v>
      </c>
      <c r="L396" t="s">
        <v>24</v>
      </c>
      <c r="M396" t="s">
        <v>25</v>
      </c>
      <c r="N396" t="s">
        <v>37</v>
      </c>
    </row>
    <row r="397" spans="1:14" x14ac:dyDescent="0.3">
      <c r="A397">
        <v>1396</v>
      </c>
      <c r="B397" s="3">
        <v>46294</v>
      </c>
      <c r="C397" t="s">
        <v>41</v>
      </c>
      <c r="D397" t="s">
        <v>31</v>
      </c>
      <c r="E397" t="s">
        <v>32</v>
      </c>
      <c r="F397" s="5">
        <v>5</v>
      </c>
      <c r="G397">
        <v>12000</v>
      </c>
      <c r="H397" s="4">
        <v>0.05</v>
      </c>
      <c r="I397" s="6">
        <v>57000</v>
      </c>
      <c r="J397" s="6">
        <v>13800</v>
      </c>
      <c r="K397" t="s">
        <v>47</v>
      </c>
      <c r="L397" t="s">
        <v>18</v>
      </c>
      <c r="M397" t="s">
        <v>19</v>
      </c>
      <c r="N397" t="s">
        <v>29</v>
      </c>
    </row>
    <row r="398" spans="1:14" x14ac:dyDescent="0.3">
      <c r="A398">
        <v>1397</v>
      </c>
      <c r="B398" s="3">
        <v>46159</v>
      </c>
      <c r="C398" t="s">
        <v>128</v>
      </c>
      <c r="D398" t="s">
        <v>28</v>
      </c>
      <c r="E398" t="s">
        <v>16</v>
      </c>
      <c r="F398" s="5">
        <v>6</v>
      </c>
      <c r="G398">
        <v>16000</v>
      </c>
      <c r="H398" s="4">
        <v>0</v>
      </c>
      <c r="I398" s="6">
        <v>96000</v>
      </c>
      <c r="J398" s="6">
        <v>26880</v>
      </c>
      <c r="K398" t="s">
        <v>17</v>
      </c>
      <c r="L398" t="s">
        <v>18</v>
      </c>
      <c r="M398" t="s">
        <v>43</v>
      </c>
      <c r="N398" t="s">
        <v>29</v>
      </c>
    </row>
    <row r="399" spans="1:14" x14ac:dyDescent="0.3">
      <c r="A399">
        <v>1398</v>
      </c>
      <c r="B399" s="3">
        <v>46113</v>
      </c>
      <c r="C399" t="s">
        <v>209</v>
      </c>
      <c r="D399" t="s">
        <v>42</v>
      </c>
      <c r="E399" t="s">
        <v>16</v>
      </c>
      <c r="F399" s="5">
        <v>5</v>
      </c>
      <c r="G399">
        <v>14000</v>
      </c>
      <c r="H399" s="4">
        <v>0.1</v>
      </c>
      <c r="I399" s="6">
        <v>63000</v>
      </c>
      <c r="J399" s="6">
        <v>12600</v>
      </c>
      <c r="K399" t="s">
        <v>78</v>
      </c>
      <c r="L399" t="s">
        <v>36</v>
      </c>
      <c r="M399" t="s">
        <v>19</v>
      </c>
      <c r="N399" t="s">
        <v>59</v>
      </c>
    </row>
    <row r="400" spans="1:14" x14ac:dyDescent="0.3">
      <c r="A400">
        <v>1399</v>
      </c>
      <c r="B400" s="3">
        <v>46095</v>
      </c>
      <c r="C400" t="s">
        <v>219</v>
      </c>
      <c r="D400" t="s">
        <v>22</v>
      </c>
      <c r="E400" t="s">
        <v>16</v>
      </c>
      <c r="F400" s="5">
        <v>2</v>
      </c>
      <c r="G400">
        <v>1800</v>
      </c>
      <c r="H400" s="4">
        <v>0.15</v>
      </c>
      <c r="I400" s="6">
        <v>3060</v>
      </c>
      <c r="J400" s="6">
        <v>468</v>
      </c>
      <c r="K400" t="s">
        <v>52</v>
      </c>
      <c r="L400" t="s">
        <v>24</v>
      </c>
      <c r="M400" t="s">
        <v>43</v>
      </c>
      <c r="N400" t="s">
        <v>20</v>
      </c>
    </row>
    <row r="401" spans="1:14" x14ac:dyDescent="0.3">
      <c r="A401">
        <v>1400</v>
      </c>
      <c r="B401" s="3">
        <v>46069</v>
      </c>
      <c r="C401" t="s">
        <v>220</v>
      </c>
      <c r="D401" t="s">
        <v>15</v>
      </c>
      <c r="E401" t="s">
        <v>16</v>
      </c>
      <c r="F401" s="5">
        <v>2</v>
      </c>
      <c r="G401">
        <v>55000</v>
      </c>
      <c r="H401" s="4">
        <v>0.05</v>
      </c>
      <c r="I401" s="6">
        <v>104500</v>
      </c>
      <c r="J401" s="6">
        <v>25300</v>
      </c>
      <c r="K401" t="s">
        <v>23</v>
      </c>
      <c r="L401" t="s">
        <v>24</v>
      </c>
      <c r="M401" t="s">
        <v>25</v>
      </c>
      <c r="N401" t="s">
        <v>59</v>
      </c>
    </row>
    <row r="402" spans="1:14" x14ac:dyDescent="0.3">
      <c r="A402">
        <v>1401</v>
      </c>
      <c r="B402" s="3">
        <v>46126</v>
      </c>
      <c r="C402" t="s">
        <v>126</v>
      </c>
      <c r="D402" t="s">
        <v>45</v>
      </c>
      <c r="E402" t="s">
        <v>16</v>
      </c>
      <c r="F402" s="5">
        <v>3</v>
      </c>
      <c r="G402">
        <v>2500</v>
      </c>
      <c r="H402" s="4">
        <v>0.05</v>
      </c>
      <c r="I402" s="6">
        <v>7125</v>
      </c>
      <c r="J402" s="6">
        <v>1725</v>
      </c>
      <c r="K402" t="s">
        <v>78</v>
      </c>
      <c r="L402" t="s">
        <v>36</v>
      </c>
      <c r="M402" t="s">
        <v>25</v>
      </c>
      <c r="N402" t="s">
        <v>26</v>
      </c>
    </row>
    <row r="403" spans="1:14" x14ac:dyDescent="0.3">
      <c r="A403">
        <v>1402</v>
      </c>
      <c r="B403" s="3">
        <v>46095</v>
      </c>
      <c r="C403" t="s">
        <v>183</v>
      </c>
      <c r="D403" t="s">
        <v>34</v>
      </c>
      <c r="E403" t="s">
        <v>16</v>
      </c>
      <c r="F403" s="5">
        <v>5</v>
      </c>
      <c r="G403">
        <v>22000</v>
      </c>
      <c r="H403" s="4">
        <v>0.1</v>
      </c>
      <c r="I403" s="6">
        <v>99000</v>
      </c>
      <c r="J403" s="6">
        <v>19800</v>
      </c>
      <c r="K403" t="s">
        <v>57</v>
      </c>
      <c r="L403" t="s">
        <v>58</v>
      </c>
      <c r="M403" t="s">
        <v>19</v>
      </c>
      <c r="N403" t="s">
        <v>20</v>
      </c>
    </row>
    <row r="404" spans="1:14" x14ac:dyDescent="0.3">
      <c r="A404">
        <v>1403</v>
      </c>
      <c r="B404" s="3">
        <v>46195</v>
      </c>
      <c r="C404" t="s">
        <v>213</v>
      </c>
      <c r="D404" t="s">
        <v>51</v>
      </c>
      <c r="E404" t="s">
        <v>32</v>
      </c>
      <c r="F404" s="5">
        <v>3</v>
      </c>
      <c r="G404">
        <v>9000</v>
      </c>
      <c r="H404" s="4">
        <v>0.05</v>
      </c>
      <c r="I404" s="6">
        <v>25650</v>
      </c>
      <c r="J404" s="6">
        <v>6210</v>
      </c>
      <c r="K404" t="s">
        <v>47</v>
      </c>
      <c r="L404" t="s">
        <v>18</v>
      </c>
      <c r="M404" t="s">
        <v>19</v>
      </c>
      <c r="N404" t="s">
        <v>37</v>
      </c>
    </row>
    <row r="405" spans="1:14" x14ac:dyDescent="0.3">
      <c r="A405">
        <v>1404</v>
      </c>
      <c r="B405" s="3">
        <v>46185</v>
      </c>
      <c r="C405" t="s">
        <v>221</v>
      </c>
      <c r="D405" t="s">
        <v>45</v>
      </c>
      <c r="E405" t="s">
        <v>16</v>
      </c>
      <c r="F405" s="5">
        <v>6</v>
      </c>
      <c r="G405">
        <v>2500</v>
      </c>
      <c r="H405" s="4">
        <v>0.1</v>
      </c>
      <c r="I405" s="6">
        <v>13500</v>
      </c>
      <c r="J405" s="6">
        <v>2700</v>
      </c>
      <c r="K405" t="s">
        <v>17</v>
      </c>
      <c r="L405" t="s">
        <v>18</v>
      </c>
      <c r="M405" t="s">
        <v>43</v>
      </c>
      <c r="N405" t="s">
        <v>59</v>
      </c>
    </row>
    <row r="406" spans="1:14" x14ac:dyDescent="0.3">
      <c r="A406">
        <v>1405</v>
      </c>
      <c r="B406" s="3">
        <v>46173</v>
      </c>
      <c r="C406" t="s">
        <v>208</v>
      </c>
      <c r="D406" t="s">
        <v>45</v>
      </c>
      <c r="E406" t="s">
        <v>16</v>
      </c>
      <c r="F406" s="5">
        <v>2</v>
      </c>
      <c r="G406">
        <v>2500</v>
      </c>
      <c r="H406" s="4">
        <v>0</v>
      </c>
      <c r="I406" s="6">
        <v>5000</v>
      </c>
      <c r="J406" s="6">
        <v>1400</v>
      </c>
      <c r="K406" t="s">
        <v>35</v>
      </c>
      <c r="L406" t="s">
        <v>36</v>
      </c>
      <c r="M406" t="s">
        <v>25</v>
      </c>
      <c r="N406" t="s">
        <v>26</v>
      </c>
    </row>
    <row r="407" spans="1:14" x14ac:dyDescent="0.3">
      <c r="A407">
        <v>1406</v>
      </c>
      <c r="B407" s="3">
        <v>46185</v>
      </c>
      <c r="C407" t="s">
        <v>212</v>
      </c>
      <c r="D407" t="s">
        <v>22</v>
      </c>
      <c r="E407" t="s">
        <v>16</v>
      </c>
      <c r="F407" s="5">
        <v>2</v>
      </c>
      <c r="G407">
        <v>1800</v>
      </c>
      <c r="H407" s="4">
        <v>0</v>
      </c>
      <c r="I407" s="6">
        <v>3600</v>
      </c>
      <c r="J407" s="6">
        <v>1008</v>
      </c>
      <c r="K407" t="s">
        <v>61</v>
      </c>
      <c r="L407" t="s">
        <v>24</v>
      </c>
      <c r="M407" t="s">
        <v>19</v>
      </c>
      <c r="N407" t="s">
        <v>20</v>
      </c>
    </row>
    <row r="408" spans="1:14" x14ac:dyDescent="0.3">
      <c r="A408">
        <v>1407</v>
      </c>
      <c r="B408" s="3">
        <v>46144</v>
      </c>
      <c r="C408" t="s">
        <v>69</v>
      </c>
      <c r="D408" t="s">
        <v>31</v>
      </c>
      <c r="E408" t="s">
        <v>32</v>
      </c>
      <c r="F408" s="5">
        <v>3</v>
      </c>
      <c r="G408">
        <v>12000</v>
      </c>
      <c r="H408" s="4">
        <v>0.05</v>
      </c>
      <c r="I408" s="6">
        <v>34200</v>
      </c>
      <c r="J408" s="6">
        <v>8280</v>
      </c>
      <c r="K408" t="s">
        <v>57</v>
      </c>
      <c r="L408" t="s">
        <v>58</v>
      </c>
      <c r="M408" t="s">
        <v>43</v>
      </c>
      <c r="N408" t="s">
        <v>20</v>
      </c>
    </row>
    <row r="409" spans="1:14" x14ac:dyDescent="0.3">
      <c r="A409">
        <v>1408</v>
      </c>
      <c r="B409" s="3">
        <v>46158</v>
      </c>
      <c r="C409" t="s">
        <v>147</v>
      </c>
      <c r="D409" t="s">
        <v>42</v>
      </c>
      <c r="E409" t="s">
        <v>16</v>
      </c>
      <c r="F409" s="5">
        <v>2</v>
      </c>
      <c r="G409">
        <v>14000</v>
      </c>
      <c r="H409" s="4">
        <v>0</v>
      </c>
      <c r="I409" s="6">
        <v>28000</v>
      </c>
      <c r="J409" s="6">
        <v>7840</v>
      </c>
      <c r="K409" t="s">
        <v>78</v>
      </c>
      <c r="L409" t="s">
        <v>36</v>
      </c>
      <c r="M409" t="s">
        <v>19</v>
      </c>
      <c r="N409" t="s">
        <v>20</v>
      </c>
    </row>
    <row r="410" spans="1:14" x14ac:dyDescent="0.3">
      <c r="A410">
        <v>1409</v>
      </c>
      <c r="B410" s="3">
        <v>46047</v>
      </c>
      <c r="C410" t="s">
        <v>87</v>
      </c>
      <c r="D410" t="s">
        <v>39</v>
      </c>
      <c r="E410" t="s">
        <v>40</v>
      </c>
      <c r="F410" s="5">
        <v>4</v>
      </c>
      <c r="G410">
        <v>120</v>
      </c>
      <c r="H410" s="4">
        <v>0.15</v>
      </c>
      <c r="I410" s="6">
        <v>408</v>
      </c>
      <c r="J410" s="6">
        <v>62.4</v>
      </c>
      <c r="K410" t="s">
        <v>47</v>
      </c>
      <c r="L410" t="s">
        <v>18</v>
      </c>
      <c r="M410" t="s">
        <v>43</v>
      </c>
      <c r="N410" t="s">
        <v>59</v>
      </c>
    </row>
    <row r="411" spans="1:14" x14ac:dyDescent="0.3">
      <c r="A411">
        <v>1410</v>
      </c>
      <c r="B411" s="3">
        <v>46215</v>
      </c>
      <c r="C411" t="s">
        <v>113</v>
      </c>
      <c r="D411" t="s">
        <v>34</v>
      </c>
      <c r="E411" t="s">
        <v>16</v>
      </c>
      <c r="F411" s="5">
        <v>4</v>
      </c>
      <c r="G411">
        <v>22000</v>
      </c>
      <c r="H411" s="4">
        <v>0.05</v>
      </c>
      <c r="I411" s="6">
        <v>83600</v>
      </c>
      <c r="J411" s="6">
        <v>20240</v>
      </c>
      <c r="K411" t="s">
        <v>47</v>
      </c>
      <c r="L411" t="s">
        <v>18</v>
      </c>
      <c r="M411" t="s">
        <v>25</v>
      </c>
      <c r="N411" t="s">
        <v>59</v>
      </c>
    </row>
    <row r="412" spans="1:14" x14ac:dyDescent="0.3">
      <c r="A412">
        <v>1411</v>
      </c>
      <c r="B412" s="3">
        <v>46033</v>
      </c>
      <c r="C412" t="s">
        <v>222</v>
      </c>
      <c r="D412" t="s">
        <v>31</v>
      </c>
      <c r="E412" t="s">
        <v>32</v>
      </c>
      <c r="F412" s="5">
        <v>3</v>
      </c>
      <c r="G412">
        <v>12000</v>
      </c>
      <c r="H412" s="4">
        <v>0</v>
      </c>
      <c r="I412" s="6">
        <v>36000</v>
      </c>
      <c r="J412" s="6">
        <v>10080</v>
      </c>
      <c r="K412" t="s">
        <v>57</v>
      </c>
      <c r="L412" t="s">
        <v>58</v>
      </c>
      <c r="M412" t="s">
        <v>43</v>
      </c>
      <c r="N412" t="s">
        <v>29</v>
      </c>
    </row>
    <row r="413" spans="1:14" x14ac:dyDescent="0.3">
      <c r="A413">
        <v>1412</v>
      </c>
      <c r="B413" s="3">
        <v>46061</v>
      </c>
      <c r="C413" t="s">
        <v>94</v>
      </c>
      <c r="D413" t="s">
        <v>28</v>
      </c>
      <c r="E413" t="s">
        <v>16</v>
      </c>
      <c r="F413" s="5">
        <v>1</v>
      </c>
      <c r="G413">
        <v>16000</v>
      </c>
      <c r="H413" s="4">
        <v>0.1</v>
      </c>
      <c r="I413" s="6">
        <v>14400</v>
      </c>
      <c r="J413" s="6">
        <v>2880</v>
      </c>
      <c r="K413" t="s">
        <v>35</v>
      </c>
      <c r="L413" t="s">
        <v>36</v>
      </c>
      <c r="M413" t="s">
        <v>19</v>
      </c>
      <c r="N413" t="s">
        <v>20</v>
      </c>
    </row>
    <row r="414" spans="1:14" x14ac:dyDescent="0.3">
      <c r="A414">
        <v>1413</v>
      </c>
      <c r="B414" s="3">
        <v>46243</v>
      </c>
      <c r="C414" t="s">
        <v>169</v>
      </c>
      <c r="D414" t="s">
        <v>45</v>
      </c>
      <c r="E414" t="s">
        <v>16</v>
      </c>
      <c r="F414" s="5">
        <v>5</v>
      </c>
      <c r="G414">
        <v>2500</v>
      </c>
      <c r="H414" s="4">
        <v>0.15</v>
      </c>
      <c r="I414" s="6">
        <v>10625</v>
      </c>
      <c r="J414" s="6">
        <v>1625</v>
      </c>
      <c r="K414" t="s">
        <v>47</v>
      </c>
      <c r="L414" t="s">
        <v>18</v>
      </c>
      <c r="M414" t="s">
        <v>43</v>
      </c>
      <c r="N414" t="s">
        <v>29</v>
      </c>
    </row>
    <row r="415" spans="1:14" x14ac:dyDescent="0.3">
      <c r="A415">
        <v>1414</v>
      </c>
      <c r="B415" s="3">
        <v>46120</v>
      </c>
      <c r="C415" t="s">
        <v>201</v>
      </c>
      <c r="D415" t="s">
        <v>39</v>
      </c>
      <c r="E415" t="s">
        <v>40</v>
      </c>
      <c r="F415" s="5">
        <v>6</v>
      </c>
      <c r="G415">
        <v>120</v>
      </c>
      <c r="H415" s="4">
        <v>0.1</v>
      </c>
      <c r="I415" s="6">
        <v>648</v>
      </c>
      <c r="J415" s="6">
        <v>129.6</v>
      </c>
      <c r="K415" t="s">
        <v>67</v>
      </c>
      <c r="L415" t="s">
        <v>58</v>
      </c>
      <c r="M415" t="s">
        <v>25</v>
      </c>
      <c r="N415" t="s">
        <v>20</v>
      </c>
    </row>
    <row r="416" spans="1:14" x14ac:dyDescent="0.3">
      <c r="A416">
        <v>1415</v>
      </c>
      <c r="B416" s="3">
        <v>46224</v>
      </c>
      <c r="C416" t="s">
        <v>169</v>
      </c>
      <c r="D416" t="s">
        <v>22</v>
      </c>
      <c r="E416" t="s">
        <v>16</v>
      </c>
      <c r="F416" s="5">
        <v>5</v>
      </c>
      <c r="G416">
        <v>1800</v>
      </c>
      <c r="H416" s="4">
        <v>0.15</v>
      </c>
      <c r="I416" s="6">
        <v>7650</v>
      </c>
      <c r="J416" s="6">
        <v>1170</v>
      </c>
      <c r="K416" t="s">
        <v>47</v>
      </c>
      <c r="L416" t="s">
        <v>18</v>
      </c>
      <c r="M416" t="s">
        <v>25</v>
      </c>
      <c r="N416" t="s">
        <v>37</v>
      </c>
    </row>
    <row r="417" spans="1:14" x14ac:dyDescent="0.3">
      <c r="A417">
        <v>1416</v>
      </c>
      <c r="B417" s="3">
        <v>46067</v>
      </c>
      <c r="C417" t="s">
        <v>223</v>
      </c>
      <c r="D417" t="s">
        <v>51</v>
      </c>
      <c r="E417" t="s">
        <v>32</v>
      </c>
      <c r="F417" s="5">
        <v>6</v>
      </c>
      <c r="G417">
        <v>9000</v>
      </c>
      <c r="H417" s="4">
        <v>0.15</v>
      </c>
      <c r="I417" s="6">
        <v>45900</v>
      </c>
      <c r="J417" s="6">
        <v>7020</v>
      </c>
      <c r="K417" t="s">
        <v>17</v>
      </c>
      <c r="L417" t="s">
        <v>18</v>
      </c>
      <c r="M417" t="s">
        <v>25</v>
      </c>
      <c r="N417" t="s">
        <v>29</v>
      </c>
    </row>
    <row r="418" spans="1:14" x14ac:dyDescent="0.3">
      <c r="A418">
        <v>1417</v>
      </c>
      <c r="B418" s="3">
        <v>46172</v>
      </c>
      <c r="C418" t="s">
        <v>151</v>
      </c>
      <c r="D418" t="s">
        <v>34</v>
      </c>
      <c r="E418" t="s">
        <v>16</v>
      </c>
      <c r="F418" s="5">
        <v>4</v>
      </c>
      <c r="G418">
        <v>22000</v>
      </c>
      <c r="H418" s="4">
        <v>0</v>
      </c>
      <c r="I418" s="6">
        <v>88000</v>
      </c>
      <c r="J418" s="6">
        <v>24640</v>
      </c>
      <c r="K418" t="s">
        <v>67</v>
      </c>
      <c r="L418" t="s">
        <v>58</v>
      </c>
      <c r="M418" t="s">
        <v>43</v>
      </c>
      <c r="N418" t="s">
        <v>59</v>
      </c>
    </row>
    <row r="419" spans="1:14" x14ac:dyDescent="0.3">
      <c r="A419">
        <v>1418</v>
      </c>
      <c r="B419" s="3">
        <v>46069</v>
      </c>
      <c r="C419" t="s">
        <v>103</v>
      </c>
      <c r="D419" t="s">
        <v>28</v>
      </c>
      <c r="E419" t="s">
        <v>16</v>
      </c>
      <c r="F419" s="5">
        <v>4</v>
      </c>
      <c r="G419">
        <v>16000</v>
      </c>
      <c r="H419" s="4">
        <v>0.05</v>
      </c>
      <c r="I419" s="6">
        <v>60800</v>
      </c>
      <c r="J419" s="6">
        <v>14720</v>
      </c>
      <c r="K419" t="s">
        <v>78</v>
      </c>
      <c r="L419" t="s">
        <v>36</v>
      </c>
      <c r="M419" t="s">
        <v>25</v>
      </c>
      <c r="N419" t="s">
        <v>37</v>
      </c>
    </row>
    <row r="420" spans="1:14" x14ac:dyDescent="0.3">
      <c r="A420">
        <v>1419</v>
      </c>
      <c r="B420" s="3">
        <v>46045</v>
      </c>
      <c r="C420" t="s">
        <v>14</v>
      </c>
      <c r="D420" t="s">
        <v>51</v>
      </c>
      <c r="E420" t="s">
        <v>32</v>
      </c>
      <c r="F420" s="5">
        <v>4</v>
      </c>
      <c r="G420">
        <v>9000</v>
      </c>
      <c r="H420" s="4">
        <v>0.15</v>
      </c>
      <c r="I420" s="6">
        <v>30600</v>
      </c>
      <c r="J420" s="6">
        <v>4680</v>
      </c>
      <c r="K420" t="s">
        <v>67</v>
      </c>
      <c r="L420" t="s">
        <v>58</v>
      </c>
      <c r="M420" t="s">
        <v>19</v>
      </c>
      <c r="N420" t="s">
        <v>20</v>
      </c>
    </row>
    <row r="421" spans="1:14" x14ac:dyDescent="0.3">
      <c r="A421">
        <v>1420</v>
      </c>
      <c r="B421" s="3">
        <v>46100</v>
      </c>
      <c r="C421" t="s">
        <v>87</v>
      </c>
      <c r="D421" t="s">
        <v>34</v>
      </c>
      <c r="E421" t="s">
        <v>16</v>
      </c>
      <c r="F421" s="5">
        <v>1</v>
      </c>
      <c r="G421">
        <v>22000</v>
      </c>
      <c r="H421" s="4">
        <v>0.1</v>
      </c>
      <c r="I421" s="6">
        <v>19800</v>
      </c>
      <c r="J421" s="6">
        <v>3960</v>
      </c>
      <c r="K421" t="s">
        <v>52</v>
      </c>
      <c r="L421" t="s">
        <v>24</v>
      </c>
      <c r="M421" t="s">
        <v>19</v>
      </c>
      <c r="N421" t="s">
        <v>20</v>
      </c>
    </row>
    <row r="422" spans="1:14" x14ac:dyDescent="0.3">
      <c r="A422">
        <v>1421</v>
      </c>
      <c r="B422" s="3">
        <v>46221</v>
      </c>
      <c r="C422" t="s">
        <v>101</v>
      </c>
      <c r="D422" t="s">
        <v>28</v>
      </c>
      <c r="E422" t="s">
        <v>16</v>
      </c>
      <c r="F422" s="5">
        <v>4</v>
      </c>
      <c r="G422">
        <v>16000</v>
      </c>
      <c r="H422" s="4">
        <v>0.15</v>
      </c>
      <c r="I422" s="6">
        <v>54400</v>
      </c>
      <c r="J422" s="6">
        <v>8320</v>
      </c>
      <c r="K422" t="s">
        <v>35</v>
      </c>
      <c r="L422" t="s">
        <v>36</v>
      </c>
      <c r="M422" t="s">
        <v>43</v>
      </c>
      <c r="N422" t="s">
        <v>20</v>
      </c>
    </row>
    <row r="423" spans="1:14" x14ac:dyDescent="0.3">
      <c r="A423">
        <v>1422</v>
      </c>
      <c r="B423" s="3">
        <v>46225</v>
      </c>
      <c r="C423" t="s">
        <v>108</v>
      </c>
      <c r="D423" t="s">
        <v>15</v>
      </c>
      <c r="E423" t="s">
        <v>16</v>
      </c>
      <c r="F423" s="5">
        <v>5</v>
      </c>
      <c r="G423">
        <v>55000</v>
      </c>
      <c r="H423" s="4">
        <v>0.05</v>
      </c>
      <c r="I423" s="6">
        <v>261250</v>
      </c>
      <c r="J423" s="6">
        <v>63250</v>
      </c>
      <c r="K423" t="s">
        <v>57</v>
      </c>
      <c r="L423" t="s">
        <v>58</v>
      </c>
      <c r="M423" t="s">
        <v>25</v>
      </c>
      <c r="N423" t="s">
        <v>29</v>
      </c>
    </row>
    <row r="424" spans="1:14" x14ac:dyDescent="0.3">
      <c r="A424">
        <v>1423</v>
      </c>
      <c r="B424" s="3">
        <v>46131</v>
      </c>
      <c r="C424" t="s">
        <v>79</v>
      </c>
      <c r="D424" t="s">
        <v>42</v>
      </c>
      <c r="E424" t="s">
        <v>16</v>
      </c>
      <c r="F424" s="5">
        <v>2</v>
      </c>
      <c r="G424">
        <v>14000</v>
      </c>
      <c r="H424" s="4">
        <v>0</v>
      </c>
      <c r="I424" s="6">
        <v>28000</v>
      </c>
      <c r="J424" s="6">
        <v>7840</v>
      </c>
      <c r="K424" t="s">
        <v>55</v>
      </c>
      <c r="L424" t="s">
        <v>24</v>
      </c>
      <c r="M424" t="s">
        <v>25</v>
      </c>
      <c r="N424" t="s">
        <v>29</v>
      </c>
    </row>
    <row r="425" spans="1:14" x14ac:dyDescent="0.3">
      <c r="A425">
        <v>1424</v>
      </c>
      <c r="B425" s="3">
        <v>46155</v>
      </c>
      <c r="C425" t="s">
        <v>202</v>
      </c>
      <c r="D425" t="s">
        <v>31</v>
      </c>
      <c r="E425" t="s">
        <v>32</v>
      </c>
      <c r="F425" s="5">
        <v>6</v>
      </c>
      <c r="G425">
        <v>12000</v>
      </c>
      <c r="H425" s="4">
        <v>0</v>
      </c>
      <c r="I425" s="6">
        <v>72000</v>
      </c>
      <c r="J425" s="6">
        <v>20160</v>
      </c>
      <c r="K425" t="s">
        <v>57</v>
      </c>
      <c r="L425" t="s">
        <v>58</v>
      </c>
      <c r="M425" t="s">
        <v>19</v>
      </c>
      <c r="N425" t="s">
        <v>59</v>
      </c>
    </row>
    <row r="426" spans="1:14" x14ac:dyDescent="0.3">
      <c r="A426">
        <v>1425</v>
      </c>
      <c r="B426" s="3">
        <v>46164</v>
      </c>
      <c r="C426" t="s">
        <v>155</v>
      </c>
      <c r="D426" t="s">
        <v>28</v>
      </c>
      <c r="E426" t="s">
        <v>16</v>
      </c>
      <c r="F426" s="5">
        <v>4</v>
      </c>
      <c r="G426">
        <v>16000</v>
      </c>
      <c r="H426" s="4">
        <v>0</v>
      </c>
      <c r="I426" s="6">
        <v>64000</v>
      </c>
      <c r="J426" s="6">
        <v>17920</v>
      </c>
      <c r="K426" t="s">
        <v>35</v>
      </c>
      <c r="L426" t="s">
        <v>36</v>
      </c>
      <c r="M426" t="s">
        <v>25</v>
      </c>
      <c r="N426" t="s">
        <v>37</v>
      </c>
    </row>
    <row r="427" spans="1:14" x14ac:dyDescent="0.3">
      <c r="A427">
        <v>1426</v>
      </c>
      <c r="B427" s="3">
        <v>46099</v>
      </c>
      <c r="C427" t="s">
        <v>162</v>
      </c>
      <c r="D427" t="s">
        <v>45</v>
      </c>
      <c r="E427" t="s">
        <v>16</v>
      </c>
      <c r="F427" s="5">
        <v>5</v>
      </c>
      <c r="G427">
        <v>2500</v>
      </c>
      <c r="H427" s="4">
        <v>0</v>
      </c>
      <c r="I427" s="6">
        <v>12500</v>
      </c>
      <c r="J427" s="6">
        <v>3500</v>
      </c>
      <c r="K427" t="s">
        <v>57</v>
      </c>
      <c r="L427" t="s">
        <v>58</v>
      </c>
      <c r="M427" t="s">
        <v>43</v>
      </c>
      <c r="N427" t="s">
        <v>26</v>
      </c>
    </row>
    <row r="428" spans="1:14" x14ac:dyDescent="0.3">
      <c r="A428">
        <v>1427</v>
      </c>
      <c r="B428" s="3">
        <v>46199</v>
      </c>
      <c r="C428" t="s">
        <v>161</v>
      </c>
      <c r="D428" t="s">
        <v>39</v>
      </c>
      <c r="E428" t="s">
        <v>40</v>
      </c>
      <c r="F428" s="5">
        <v>3</v>
      </c>
      <c r="G428">
        <v>120</v>
      </c>
      <c r="H428" s="4">
        <v>0.15</v>
      </c>
      <c r="I428" s="6">
        <v>306</v>
      </c>
      <c r="J428" s="6">
        <v>46.8</v>
      </c>
      <c r="K428" t="s">
        <v>61</v>
      </c>
      <c r="L428" t="s">
        <v>24</v>
      </c>
      <c r="M428" t="s">
        <v>25</v>
      </c>
      <c r="N428" t="s">
        <v>29</v>
      </c>
    </row>
    <row r="429" spans="1:14" x14ac:dyDescent="0.3">
      <c r="A429">
        <v>1428</v>
      </c>
      <c r="B429" s="3">
        <v>46164</v>
      </c>
      <c r="C429" t="s">
        <v>151</v>
      </c>
      <c r="D429" t="s">
        <v>39</v>
      </c>
      <c r="E429" t="s">
        <v>40</v>
      </c>
      <c r="F429" s="5">
        <v>2</v>
      </c>
      <c r="G429">
        <v>120</v>
      </c>
      <c r="H429" s="4">
        <v>0.15</v>
      </c>
      <c r="I429" s="6">
        <v>204</v>
      </c>
      <c r="J429" s="6">
        <v>31.2</v>
      </c>
      <c r="K429" t="s">
        <v>23</v>
      </c>
      <c r="L429" t="s">
        <v>24</v>
      </c>
      <c r="M429" t="s">
        <v>19</v>
      </c>
      <c r="N429" t="s">
        <v>29</v>
      </c>
    </row>
    <row r="430" spans="1:14" x14ac:dyDescent="0.3">
      <c r="A430">
        <v>1429</v>
      </c>
      <c r="B430" s="3">
        <v>46048</v>
      </c>
      <c r="C430" t="s">
        <v>68</v>
      </c>
      <c r="D430" t="s">
        <v>75</v>
      </c>
      <c r="E430" t="s">
        <v>40</v>
      </c>
      <c r="F430" s="5">
        <v>3</v>
      </c>
      <c r="G430">
        <v>180</v>
      </c>
      <c r="H430" s="4">
        <v>0.1</v>
      </c>
      <c r="I430" s="6">
        <v>486</v>
      </c>
      <c r="J430" s="6">
        <v>97.2</v>
      </c>
      <c r="K430" t="s">
        <v>23</v>
      </c>
      <c r="L430" t="s">
        <v>24</v>
      </c>
      <c r="M430" t="s">
        <v>43</v>
      </c>
      <c r="N430" t="s">
        <v>59</v>
      </c>
    </row>
    <row r="431" spans="1:14" x14ac:dyDescent="0.3">
      <c r="A431">
        <v>1430</v>
      </c>
      <c r="B431" s="3">
        <v>46274</v>
      </c>
      <c r="C431" t="s">
        <v>194</v>
      </c>
      <c r="D431" t="s">
        <v>34</v>
      </c>
      <c r="E431" t="s">
        <v>16</v>
      </c>
      <c r="F431" s="5">
        <v>2</v>
      </c>
      <c r="G431">
        <v>22000</v>
      </c>
      <c r="H431" s="4">
        <v>0.05</v>
      </c>
      <c r="I431" s="6">
        <v>41800</v>
      </c>
      <c r="J431" s="6">
        <v>10120</v>
      </c>
      <c r="K431" t="s">
        <v>67</v>
      </c>
      <c r="L431" t="s">
        <v>58</v>
      </c>
      <c r="M431" t="s">
        <v>43</v>
      </c>
      <c r="N431" t="s">
        <v>59</v>
      </c>
    </row>
    <row r="432" spans="1:14" x14ac:dyDescent="0.3">
      <c r="A432">
        <v>1431</v>
      </c>
      <c r="B432" s="3">
        <v>46236</v>
      </c>
      <c r="C432" t="s">
        <v>150</v>
      </c>
      <c r="D432" t="s">
        <v>22</v>
      </c>
      <c r="E432" t="s">
        <v>16</v>
      </c>
      <c r="F432" s="5">
        <v>6</v>
      </c>
      <c r="G432">
        <v>1800</v>
      </c>
      <c r="H432" s="4">
        <v>0</v>
      </c>
      <c r="I432" s="6">
        <v>10800</v>
      </c>
      <c r="J432" s="6">
        <v>3024</v>
      </c>
      <c r="K432" t="s">
        <v>17</v>
      </c>
      <c r="L432" t="s">
        <v>18</v>
      </c>
      <c r="M432" t="s">
        <v>43</v>
      </c>
      <c r="N432" t="s">
        <v>37</v>
      </c>
    </row>
    <row r="433" spans="1:14" x14ac:dyDescent="0.3">
      <c r="A433">
        <v>1432</v>
      </c>
      <c r="B433" s="3">
        <v>46287</v>
      </c>
      <c r="C433" t="s">
        <v>219</v>
      </c>
      <c r="D433" t="s">
        <v>31</v>
      </c>
      <c r="E433" t="s">
        <v>32</v>
      </c>
      <c r="F433" s="5">
        <v>1</v>
      </c>
      <c r="G433">
        <v>12000</v>
      </c>
      <c r="H433" s="4">
        <v>0.05</v>
      </c>
      <c r="I433" s="6">
        <v>11400</v>
      </c>
      <c r="J433" s="6">
        <v>2760</v>
      </c>
      <c r="K433" t="s">
        <v>57</v>
      </c>
      <c r="L433" t="s">
        <v>58</v>
      </c>
      <c r="M433" t="s">
        <v>25</v>
      </c>
      <c r="N433" t="s">
        <v>26</v>
      </c>
    </row>
    <row r="434" spans="1:14" x14ac:dyDescent="0.3">
      <c r="A434">
        <v>1433</v>
      </c>
      <c r="B434" s="3">
        <v>46037</v>
      </c>
      <c r="C434" t="s">
        <v>72</v>
      </c>
      <c r="D434" t="s">
        <v>45</v>
      </c>
      <c r="E434" t="s">
        <v>16</v>
      </c>
      <c r="F434" s="5">
        <v>2</v>
      </c>
      <c r="G434">
        <v>2500</v>
      </c>
      <c r="H434" s="4">
        <v>0.05</v>
      </c>
      <c r="I434" s="6">
        <v>4750</v>
      </c>
      <c r="J434" s="6">
        <v>1150</v>
      </c>
      <c r="K434" t="s">
        <v>23</v>
      </c>
      <c r="L434" t="s">
        <v>24</v>
      </c>
      <c r="M434" t="s">
        <v>43</v>
      </c>
      <c r="N434" t="s">
        <v>20</v>
      </c>
    </row>
    <row r="435" spans="1:14" x14ac:dyDescent="0.3">
      <c r="A435">
        <v>1434</v>
      </c>
      <c r="B435" s="3">
        <v>46207</v>
      </c>
      <c r="C435" t="s">
        <v>167</v>
      </c>
      <c r="D435" t="s">
        <v>42</v>
      </c>
      <c r="E435" t="s">
        <v>16</v>
      </c>
      <c r="F435" s="5">
        <v>3</v>
      </c>
      <c r="G435">
        <v>14000</v>
      </c>
      <c r="H435" s="4">
        <v>0.1</v>
      </c>
      <c r="I435" s="6">
        <v>37800</v>
      </c>
      <c r="J435" s="6">
        <v>7560</v>
      </c>
      <c r="K435" t="s">
        <v>61</v>
      </c>
      <c r="L435" t="s">
        <v>24</v>
      </c>
      <c r="M435" t="s">
        <v>19</v>
      </c>
      <c r="N435" t="s">
        <v>20</v>
      </c>
    </row>
    <row r="436" spans="1:14" x14ac:dyDescent="0.3">
      <c r="A436">
        <v>1435</v>
      </c>
      <c r="B436" s="3">
        <v>46038</v>
      </c>
      <c r="C436" t="s">
        <v>27</v>
      </c>
      <c r="D436" t="s">
        <v>42</v>
      </c>
      <c r="E436" t="s">
        <v>16</v>
      </c>
      <c r="F436" s="5">
        <v>3</v>
      </c>
      <c r="G436">
        <v>14000</v>
      </c>
      <c r="H436" s="4">
        <v>0.15</v>
      </c>
      <c r="I436" s="6">
        <v>35700</v>
      </c>
      <c r="J436" s="6">
        <v>5460</v>
      </c>
      <c r="K436" t="s">
        <v>35</v>
      </c>
      <c r="L436" t="s">
        <v>36</v>
      </c>
      <c r="M436" t="s">
        <v>43</v>
      </c>
      <c r="N436" t="s">
        <v>26</v>
      </c>
    </row>
    <row r="437" spans="1:14" x14ac:dyDescent="0.3">
      <c r="A437">
        <v>1436</v>
      </c>
      <c r="B437" s="3">
        <v>46202</v>
      </c>
      <c r="C437" t="s">
        <v>120</v>
      </c>
      <c r="D437" t="s">
        <v>31</v>
      </c>
      <c r="E437" t="s">
        <v>32</v>
      </c>
      <c r="F437" s="5">
        <v>2</v>
      </c>
      <c r="G437">
        <v>12000</v>
      </c>
      <c r="H437" s="4">
        <v>0.1</v>
      </c>
      <c r="I437" s="6">
        <v>21600</v>
      </c>
      <c r="J437" s="6">
        <v>4320</v>
      </c>
      <c r="K437" t="s">
        <v>57</v>
      </c>
      <c r="L437" t="s">
        <v>58</v>
      </c>
      <c r="M437" t="s">
        <v>43</v>
      </c>
      <c r="N437" t="s">
        <v>20</v>
      </c>
    </row>
    <row r="438" spans="1:14" x14ac:dyDescent="0.3">
      <c r="A438">
        <v>1437</v>
      </c>
      <c r="B438" s="3">
        <v>46106</v>
      </c>
      <c r="C438" t="s">
        <v>109</v>
      </c>
      <c r="D438" t="s">
        <v>22</v>
      </c>
      <c r="E438" t="s">
        <v>16</v>
      </c>
      <c r="F438" s="5">
        <v>2</v>
      </c>
      <c r="G438">
        <v>1800</v>
      </c>
      <c r="H438" s="4">
        <v>0.05</v>
      </c>
      <c r="I438" s="6">
        <v>3420</v>
      </c>
      <c r="J438" s="6">
        <v>828</v>
      </c>
      <c r="K438" t="s">
        <v>17</v>
      </c>
      <c r="L438" t="s">
        <v>18</v>
      </c>
      <c r="M438" t="s">
        <v>43</v>
      </c>
      <c r="N438" t="s">
        <v>37</v>
      </c>
    </row>
    <row r="439" spans="1:14" x14ac:dyDescent="0.3">
      <c r="A439">
        <v>1438</v>
      </c>
      <c r="B439" s="3">
        <v>46285</v>
      </c>
      <c r="C439" t="s">
        <v>154</v>
      </c>
      <c r="D439" t="s">
        <v>15</v>
      </c>
      <c r="E439" t="s">
        <v>16</v>
      </c>
      <c r="F439" s="5">
        <v>6</v>
      </c>
      <c r="G439">
        <v>55000</v>
      </c>
      <c r="H439" s="4">
        <v>0</v>
      </c>
      <c r="I439" s="6">
        <v>330000</v>
      </c>
      <c r="J439" s="6">
        <v>92400</v>
      </c>
      <c r="K439" t="s">
        <v>61</v>
      </c>
      <c r="L439" t="s">
        <v>24</v>
      </c>
      <c r="M439" t="s">
        <v>19</v>
      </c>
      <c r="N439" t="s">
        <v>20</v>
      </c>
    </row>
    <row r="440" spans="1:14" x14ac:dyDescent="0.3">
      <c r="A440">
        <v>1439</v>
      </c>
      <c r="B440" s="3">
        <v>46137</v>
      </c>
      <c r="C440" t="s">
        <v>224</v>
      </c>
      <c r="D440" t="s">
        <v>51</v>
      </c>
      <c r="E440" t="s">
        <v>32</v>
      </c>
      <c r="F440" s="5">
        <v>5</v>
      </c>
      <c r="G440">
        <v>9000</v>
      </c>
      <c r="H440" s="4">
        <v>0.1</v>
      </c>
      <c r="I440" s="6">
        <v>40500</v>
      </c>
      <c r="J440" s="6">
        <v>8100</v>
      </c>
      <c r="K440" t="s">
        <v>67</v>
      </c>
      <c r="L440" t="s">
        <v>58</v>
      </c>
      <c r="M440" t="s">
        <v>43</v>
      </c>
      <c r="N440" t="s">
        <v>37</v>
      </c>
    </row>
    <row r="441" spans="1:14" x14ac:dyDescent="0.3">
      <c r="A441">
        <v>1440</v>
      </c>
      <c r="B441" s="3">
        <v>46152</v>
      </c>
      <c r="C441" t="s">
        <v>92</v>
      </c>
      <c r="D441" t="s">
        <v>42</v>
      </c>
      <c r="E441" t="s">
        <v>16</v>
      </c>
      <c r="F441" s="5">
        <v>4</v>
      </c>
      <c r="G441">
        <v>14000</v>
      </c>
      <c r="H441" s="4">
        <v>0.1</v>
      </c>
      <c r="I441" s="6">
        <v>50400</v>
      </c>
      <c r="J441" s="6">
        <v>10080</v>
      </c>
      <c r="K441" t="s">
        <v>52</v>
      </c>
      <c r="L441" t="s">
        <v>24</v>
      </c>
      <c r="M441" t="s">
        <v>19</v>
      </c>
      <c r="N441" t="s">
        <v>20</v>
      </c>
    </row>
    <row r="442" spans="1:14" x14ac:dyDescent="0.3">
      <c r="A442">
        <v>1441</v>
      </c>
      <c r="B442" s="3">
        <v>46026</v>
      </c>
      <c r="C442" t="s">
        <v>116</v>
      </c>
      <c r="D442" t="s">
        <v>28</v>
      </c>
      <c r="E442" t="s">
        <v>16</v>
      </c>
      <c r="F442" s="5">
        <v>6</v>
      </c>
      <c r="G442">
        <v>16000</v>
      </c>
      <c r="H442" s="4">
        <v>0.1</v>
      </c>
      <c r="I442" s="6">
        <v>86400</v>
      </c>
      <c r="J442" s="6">
        <v>17280</v>
      </c>
      <c r="K442" t="s">
        <v>52</v>
      </c>
      <c r="L442" t="s">
        <v>24</v>
      </c>
      <c r="M442" t="s">
        <v>43</v>
      </c>
      <c r="N442" t="s">
        <v>20</v>
      </c>
    </row>
    <row r="443" spans="1:14" x14ac:dyDescent="0.3">
      <c r="A443">
        <v>1442</v>
      </c>
      <c r="B443" s="3">
        <v>46269</v>
      </c>
      <c r="C443" t="s">
        <v>185</v>
      </c>
      <c r="D443" t="s">
        <v>34</v>
      </c>
      <c r="E443" t="s">
        <v>16</v>
      </c>
      <c r="F443" s="5">
        <v>3</v>
      </c>
      <c r="G443">
        <v>22000</v>
      </c>
      <c r="H443" s="4">
        <v>0.1</v>
      </c>
      <c r="I443" s="6">
        <v>59400</v>
      </c>
      <c r="J443" s="6">
        <v>11880</v>
      </c>
      <c r="K443" t="s">
        <v>78</v>
      </c>
      <c r="L443" t="s">
        <v>36</v>
      </c>
      <c r="M443" t="s">
        <v>19</v>
      </c>
      <c r="N443" t="s">
        <v>59</v>
      </c>
    </row>
    <row r="444" spans="1:14" x14ac:dyDescent="0.3">
      <c r="A444">
        <v>1443</v>
      </c>
      <c r="B444" s="3">
        <v>46119</v>
      </c>
      <c r="C444" t="s">
        <v>195</v>
      </c>
      <c r="D444" t="s">
        <v>45</v>
      </c>
      <c r="E444" t="s">
        <v>16</v>
      </c>
      <c r="F444" s="5">
        <v>5</v>
      </c>
      <c r="G444">
        <v>2500</v>
      </c>
      <c r="H444" s="4">
        <v>0.05</v>
      </c>
      <c r="I444" s="6">
        <v>11875</v>
      </c>
      <c r="J444" s="6">
        <v>2875</v>
      </c>
      <c r="K444" t="s">
        <v>23</v>
      </c>
      <c r="L444" t="s">
        <v>24</v>
      </c>
      <c r="M444" t="s">
        <v>19</v>
      </c>
      <c r="N444" t="s">
        <v>59</v>
      </c>
    </row>
    <row r="445" spans="1:14" x14ac:dyDescent="0.3">
      <c r="A445">
        <v>1444</v>
      </c>
      <c r="B445" s="3">
        <v>46094</v>
      </c>
      <c r="C445" t="s">
        <v>198</v>
      </c>
      <c r="D445" t="s">
        <v>15</v>
      </c>
      <c r="E445" t="s">
        <v>16</v>
      </c>
      <c r="F445" s="5">
        <v>6</v>
      </c>
      <c r="G445">
        <v>55000</v>
      </c>
      <c r="H445" s="4">
        <v>0.15</v>
      </c>
      <c r="I445" s="6">
        <v>280500</v>
      </c>
      <c r="J445" s="6">
        <v>42900</v>
      </c>
      <c r="K445" t="s">
        <v>67</v>
      </c>
      <c r="L445" t="s">
        <v>58</v>
      </c>
      <c r="M445" t="s">
        <v>43</v>
      </c>
      <c r="N445" t="s">
        <v>37</v>
      </c>
    </row>
    <row r="446" spans="1:14" x14ac:dyDescent="0.3">
      <c r="A446">
        <v>1445</v>
      </c>
      <c r="B446" s="3">
        <v>46041</v>
      </c>
      <c r="C446" t="s">
        <v>225</v>
      </c>
      <c r="D446" t="s">
        <v>22</v>
      </c>
      <c r="E446" t="s">
        <v>16</v>
      </c>
      <c r="F446" s="5">
        <v>6</v>
      </c>
      <c r="G446">
        <v>1800</v>
      </c>
      <c r="H446" s="4">
        <v>0.05</v>
      </c>
      <c r="I446" s="6">
        <v>10260</v>
      </c>
      <c r="J446" s="6">
        <v>2484</v>
      </c>
      <c r="K446" t="s">
        <v>78</v>
      </c>
      <c r="L446" t="s">
        <v>36</v>
      </c>
      <c r="M446" t="s">
        <v>19</v>
      </c>
      <c r="N446" t="s">
        <v>26</v>
      </c>
    </row>
    <row r="447" spans="1:14" x14ac:dyDescent="0.3">
      <c r="A447">
        <v>1446</v>
      </c>
      <c r="B447" s="3">
        <v>46266</v>
      </c>
      <c r="C447" t="s">
        <v>96</v>
      </c>
      <c r="D447" t="s">
        <v>31</v>
      </c>
      <c r="E447" t="s">
        <v>32</v>
      </c>
      <c r="F447" s="5">
        <v>5</v>
      </c>
      <c r="G447">
        <v>12000</v>
      </c>
      <c r="H447" s="4">
        <v>0.1</v>
      </c>
      <c r="I447" s="6">
        <v>54000</v>
      </c>
      <c r="J447" s="6">
        <v>10800</v>
      </c>
      <c r="K447" t="s">
        <v>47</v>
      </c>
      <c r="L447" t="s">
        <v>18</v>
      </c>
      <c r="M447" t="s">
        <v>43</v>
      </c>
      <c r="N447" t="s">
        <v>20</v>
      </c>
    </row>
    <row r="448" spans="1:14" x14ac:dyDescent="0.3">
      <c r="A448">
        <v>1447</v>
      </c>
      <c r="B448" s="3">
        <v>46264</v>
      </c>
      <c r="C448" t="s">
        <v>30</v>
      </c>
      <c r="D448" t="s">
        <v>45</v>
      </c>
      <c r="E448" t="s">
        <v>16</v>
      </c>
      <c r="F448" s="5">
        <v>6</v>
      </c>
      <c r="G448">
        <v>2500</v>
      </c>
      <c r="H448" s="4">
        <v>0.1</v>
      </c>
      <c r="I448" s="6">
        <v>13500</v>
      </c>
      <c r="J448" s="6">
        <v>2700</v>
      </c>
      <c r="K448" t="s">
        <v>52</v>
      </c>
      <c r="L448" t="s">
        <v>24</v>
      </c>
      <c r="M448" t="s">
        <v>19</v>
      </c>
      <c r="N448" t="s">
        <v>59</v>
      </c>
    </row>
    <row r="449" spans="1:14" x14ac:dyDescent="0.3">
      <c r="A449">
        <v>1448</v>
      </c>
      <c r="B449" s="3">
        <v>46068</v>
      </c>
      <c r="C449" t="s">
        <v>163</v>
      </c>
      <c r="D449" t="s">
        <v>42</v>
      </c>
      <c r="E449" t="s">
        <v>16</v>
      </c>
      <c r="F449" s="5">
        <v>3</v>
      </c>
      <c r="G449">
        <v>14000</v>
      </c>
      <c r="H449" s="4">
        <v>0.05</v>
      </c>
      <c r="I449" s="6">
        <v>39900</v>
      </c>
      <c r="J449" s="6">
        <v>9660</v>
      </c>
      <c r="K449" t="s">
        <v>67</v>
      </c>
      <c r="L449" t="s">
        <v>58</v>
      </c>
      <c r="M449" t="s">
        <v>43</v>
      </c>
      <c r="N449" t="s">
        <v>59</v>
      </c>
    </row>
    <row r="450" spans="1:14" x14ac:dyDescent="0.3">
      <c r="A450">
        <v>1449</v>
      </c>
      <c r="B450" s="3">
        <v>46173</v>
      </c>
      <c r="C450" t="s">
        <v>144</v>
      </c>
      <c r="D450" t="s">
        <v>75</v>
      </c>
      <c r="E450" t="s">
        <v>40</v>
      </c>
      <c r="F450" s="5">
        <v>1</v>
      </c>
      <c r="G450">
        <v>180</v>
      </c>
      <c r="H450" s="4">
        <v>0.15</v>
      </c>
      <c r="I450" s="6">
        <v>153</v>
      </c>
      <c r="J450" s="6">
        <v>23.4</v>
      </c>
      <c r="K450" t="s">
        <v>23</v>
      </c>
      <c r="L450" t="s">
        <v>24</v>
      </c>
      <c r="M450" t="s">
        <v>43</v>
      </c>
      <c r="N450" t="s">
        <v>29</v>
      </c>
    </row>
    <row r="451" spans="1:14" x14ac:dyDescent="0.3">
      <c r="A451">
        <v>1450</v>
      </c>
      <c r="B451" s="3">
        <v>46279</v>
      </c>
      <c r="C451" t="s">
        <v>201</v>
      </c>
      <c r="D451" t="s">
        <v>34</v>
      </c>
      <c r="E451" t="s">
        <v>16</v>
      </c>
      <c r="F451" s="5">
        <v>6</v>
      </c>
      <c r="G451">
        <v>22000</v>
      </c>
      <c r="H451" s="4">
        <v>0.15</v>
      </c>
      <c r="I451" s="6">
        <v>112200</v>
      </c>
      <c r="J451" s="6">
        <v>17160</v>
      </c>
      <c r="K451" t="s">
        <v>52</v>
      </c>
      <c r="L451" t="s">
        <v>24</v>
      </c>
      <c r="M451" t="s">
        <v>25</v>
      </c>
      <c r="N451" t="s">
        <v>29</v>
      </c>
    </row>
    <row r="452" spans="1:14" x14ac:dyDescent="0.3">
      <c r="A452">
        <v>1451</v>
      </c>
      <c r="B452" s="3">
        <v>46093</v>
      </c>
      <c r="C452" t="s">
        <v>164</v>
      </c>
      <c r="D452" t="s">
        <v>42</v>
      </c>
      <c r="E452" t="s">
        <v>16</v>
      </c>
      <c r="F452" s="5">
        <v>3</v>
      </c>
      <c r="G452">
        <v>14000</v>
      </c>
      <c r="H452" s="4">
        <v>0.15</v>
      </c>
      <c r="I452" s="6">
        <v>35700</v>
      </c>
      <c r="J452" s="6">
        <v>5460</v>
      </c>
      <c r="K452" t="s">
        <v>35</v>
      </c>
      <c r="L452" t="s">
        <v>36</v>
      </c>
      <c r="M452" t="s">
        <v>43</v>
      </c>
      <c r="N452" t="s">
        <v>29</v>
      </c>
    </row>
    <row r="453" spans="1:14" x14ac:dyDescent="0.3">
      <c r="A453">
        <v>1452</v>
      </c>
      <c r="B453" s="3">
        <v>46064</v>
      </c>
      <c r="C453" t="s">
        <v>144</v>
      </c>
      <c r="D453" t="s">
        <v>75</v>
      </c>
      <c r="E453" t="s">
        <v>40</v>
      </c>
      <c r="F453" s="5">
        <v>3</v>
      </c>
      <c r="G453">
        <v>180</v>
      </c>
      <c r="H453" s="4">
        <v>0.05</v>
      </c>
      <c r="I453" s="6">
        <v>513</v>
      </c>
      <c r="J453" s="6">
        <v>124.2</v>
      </c>
      <c r="K453" t="s">
        <v>78</v>
      </c>
      <c r="L453" t="s">
        <v>36</v>
      </c>
      <c r="M453" t="s">
        <v>25</v>
      </c>
      <c r="N453" t="s">
        <v>37</v>
      </c>
    </row>
    <row r="454" spans="1:14" x14ac:dyDescent="0.3">
      <c r="A454">
        <v>1453</v>
      </c>
      <c r="B454" s="3">
        <v>46163</v>
      </c>
      <c r="C454" t="s">
        <v>30</v>
      </c>
      <c r="D454" t="s">
        <v>42</v>
      </c>
      <c r="E454" t="s">
        <v>16</v>
      </c>
      <c r="F454" s="5">
        <v>2</v>
      </c>
      <c r="G454">
        <v>14000</v>
      </c>
      <c r="H454" s="4">
        <v>0.05</v>
      </c>
      <c r="I454" s="6">
        <v>26600</v>
      </c>
      <c r="J454" s="6">
        <v>6440</v>
      </c>
      <c r="K454" t="s">
        <v>61</v>
      </c>
      <c r="L454" t="s">
        <v>24</v>
      </c>
      <c r="M454" t="s">
        <v>25</v>
      </c>
      <c r="N454" t="s">
        <v>26</v>
      </c>
    </row>
    <row r="455" spans="1:14" x14ac:dyDescent="0.3">
      <c r="A455">
        <v>1454</v>
      </c>
      <c r="B455" s="3">
        <v>46245</v>
      </c>
      <c r="C455" t="s">
        <v>176</v>
      </c>
      <c r="D455" t="s">
        <v>39</v>
      </c>
      <c r="E455" t="s">
        <v>40</v>
      </c>
      <c r="F455" s="5">
        <v>4</v>
      </c>
      <c r="G455">
        <v>120</v>
      </c>
      <c r="H455" s="4">
        <v>0.15</v>
      </c>
      <c r="I455" s="6">
        <v>408</v>
      </c>
      <c r="J455" s="6">
        <v>62.4</v>
      </c>
      <c r="K455" t="s">
        <v>61</v>
      </c>
      <c r="L455" t="s">
        <v>24</v>
      </c>
      <c r="M455" t="s">
        <v>25</v>
      </c>
      <c r="N455" t="s">
        <v>26</v>
      </c>
    </row>
    <row r="456" spans="1:14" x14ac:dyDescent="0.3">
      <c r="A456">
        <v>1455</v>
      </c>
      <c r="B456" s="3">
        <v>46125</v>
      </c>
      <c r="C456" t="s">
        <v>134</v>
      </c>
      <c r="D456" t="s">
        <v>31</v>
      </c>
      <c r="E456" t="s">
        <v>32</v>
      </c>
      <c r="F456" s="5">
        <v>1</v>
      </c>
      <c r="G456">
        <v>12000</v>
      </c>
      <c r="H456" s="4">
        <v>0.1</v>
      </c>
      <c r="I456" s="6">
        <v>10800</v>
      </c>
      <c r="J456" s="6">
        <v>2160</v>
      </c>
      <c r="K456" t="s">
        <v>52</v>
      </c>
      <c r="L456" t="s">
        <v>24</v>
      </c>
      <c r="M456" t="s">
        <v>19</v>
      </c>
      <c r="N456" t="s">
        <v>20</v>
      </c>
    </row>
    <row r="457" spans="1:14" x14ac:dyDescent="0.3">
      <c r="A457">
        <v>1456</v>
      </c>
      <c r="B457" s="3">
        <v>46150</v>
      </c>
      <c r="C457" t="s">
        <v>154</v>
      </c>
      <c r="D457" t="s">
        <v>42</v>
      </c>
      <c r="E457" t="s">
        <v>16</v>
      </c>
      <c r="F457" s="5">
        <v>6</v>
      </c>
      <c r="G457">
        <v>14000</v>
      </c>
      <c r="H457" s="4">
        <v>0.1</v>
      </c>
      <c r="I457" s="6">
        <v>75600</v>
      </c>
      <c r="J457" s="6">
        <v>15120</v>
      </c>
      <c r="K457" t="s">
        <v>67</v>
      </c>
      <c r="L457" t="s">
        <v>58</v>
      </c>
      <c r="M457" t="s">
        <v>43</v>
      </c>
      <c r="N457" t="s">
        <v>26</v>
      </c>
    </row>
    <row r="458" spans="1:14" x14ac:dyDescent="0.3">
      <c r="A458">
        <v>1457</v>
      </c>
      <c r="B458" s="3">
        <v>46179</v>
      </c>
      <c r="C458" t="s">
        <v>226</v>
      </c>
      <c r="D458" t="s">
        <v>45</v>
      </c>
      <c r="E458" t="s">
        <v>16</v>
      </c>
      <c r="F458" s="5">
        <v>1</v>
      </c>
      <c r="G458">
        <v>2500</v>
      </c>
      <c r="H458" s="4">
        <v>0</v>
      </c>
      <c r="I458" s="6">
        <v>2500</v>
      </c>
      <c r="J458" s="6">
        <v>700</v>
      </c>
      <c r="K458" t="s">
        <v>67</v>
      </c>
      <c r="L458" t="s">
        <v>58</v>
      </c>
      <c r="M458" t="s">
        <v>19</v>
      </c>
      <c r="N458" t="s">
        <v>26</v>
      </c>
    </row>
    <row r="459" spans="1:14" x14ac:dyDescent="0.3">
      <c r="A459">
        <v>1458</v>
      </c>
      <c r="B459" s="3">
        <v>46291</v>
      </c>
      <c r="C459" t="s">
        <v>193</v>
      </c>
      <c r="D459" t="s">
        <v>31</v>
      </c>
      <c r="E459" t="s">
        <v>32</v>
      </c>
      <c r="F459" s="5">
        <v>4</v>
      </c>
      <c r="G459">
        <v>12000</v>
      </c>
      <c r="H459" s="4">
        <v>0.05</v>
      </c>
      <c r="I459" s="6">
        <v>45600</v>
      </c>
      <c r="J459" s="6">
        <v>11040</v>
      </c>
      <c r="K459" t="s">
        <v>78</v>
      </c>
      <c r="L459" t="s">
        <v>36</v>
      </c>
      <c r="M459" t="s">
        <v>25</v>
      </c>
      <c r="N459" t="s">
        <v>29</v>
      </c>
    </row>
    <row r="460" spans="1:14" x14ac:dyDescent="0.3">
      <c r="A460">
        <v>1459</v>
      </c>
      <c r="B460" s="3">
        <v>46229</v>
      </c>
      <c r="C460" t="s">
        <v>106</v>
      </c>
      <c r="D460" t="s">
        <v>15</v>
      </c>
      <c r="E460" t="s">
        <v>16</v>
      </c>
      <c r="F460" s="5">
        <v>2</v>
      </c>
      <c r="G460">
        <v>55000</v>
      </c>
      <c r="H460" s="4">
        <v>0.05</v>
      </c>
      <c r="I460" s="6">
        <v>104500</v>
      </c>
      <c r="J460" s="6">
        <v>25300</v>
      </c>
      <c r="K460" t="s">
        <v>47</v>
      </c>
      <c r="L460" t="s">
        <v>18</v>
      </c>
      <c r="M460" t="s">
        <v>19</v>
      </c>
      <c r="N460" t="s">
        <v>26</v>
      </c>
    </row>
    <row r="461" spans="1:14" x14ac:dyDescent="0.3">
      <c r="A461">
        <v>1460</v>
      </c>
      <c r="B461" s="3">
        <v>46109</v>
      </c>
      <c r="C461" t="s">
        <v>100</v>
      </c>
      <c r="D461" t="s">
        <v>34</v>
      </c>
      <c r="E461" t="s">
        <v>16</v>
      </c>
      <c r="F461" s="5">
        <v>3</v>
      </c>
      <c r="G461">
        <v>22000</v>
      </c>
      <c r="H461" s="4">
        <v>0</v>
      </c>
      <c r="I461" s="6">
        <v>66000</v>
      </c>
      <c r="J461" s="6">
        <v>18480</v>
      </c>
      <c r="K461" t="s">
        <v>55</v>
      </c>
      <c r="L461" t="s">
        <v>24</v>
      </c>
      <c r="M461" t="s">
        <v>19</v>
      </c>
      <c r="N461" t="s">
        <v>26</v>
      </c>
    </row>
    <row r="462" spans="1:14" x14ac:dyDescent="0.3">
      <c r="A462">
        <v>1461</v>
      </c>
      <c r="B462" s="3">
        <v>46047</v>
      </c>
      <c r="C462" t="s">
        <v>227</v>
      </c>
      <c r="D462" t="s">
        <v>22</v>
      </c>
      <c r="E462" t="s">
        <v>16</v>
      </c>
      <c r="F462" s="5">
        <v>1</v>
      </c>
      <c r="G462">
        <v>1800</v>
      </c>
      <c r="H462" s="4">
        <v>0</v>
      </c>
      <c r="I462" s="6">
        <v>1800</v>
      </c>
      <c r="J462" s="6">
        <v>504</v>
      </c>
      <c r="K462" t="s">
        <v>23</v>
      </c>
      <c r="L462" t="s">
        <v>24</v>
      </c>
      <c r="M462" t="s">
        <v>43</v>
      </c>
      <c r="N462" t="s">
        <v>37</v>
      </c>
    </row>
    <row r="463" spans="1:14" x14ac:dyDescent="0.3">
      <c r="A463">
        <v>1462</v>
      </c>
      <c r="B463" s="3">
        <v>46217</v>
      </c>
      <c r="C463" t="s">
        <v>118</v>
      </c>
      <c r="D463" t="s">
        <v>34</v>
      </c>
      <c r="E463" t="s">
        <v>16</v>
      </c>
      <c r="F463" s="5">
        <v>5</v>
      </c>
      <c r="G463">
        <v>22000</v>
      </c>
      <c r="H463" s="4">
        <v>0.1</v>
      </c>
      <c r="I463" s="6">
        <v>99000</v>
      </c>
      <c r="J463" s="6">
        <v>19800</v>
      </c>
      <c r="K463" t="s">
        <v>61</v>
      </c>
      <c r="L463" t="s">
        <v>24</v>
      </c>
      <c r="M463" t="s">
        <v>25</v>
      </c>
      <c r="N463" t="s">
        <v>20</v>
      </c>
    </row>
    <row r="464" spans="1:14" x14ac:dyDescent="0.3">
      <c r="A464">
        <v>1463</v>
      </c>
      <c r="B464" s="3">
        <v>46177</v>
      </c>
      <c r="C464" t="s">
        <v>180</v>
      </c>
      <c r="D464" t="s">
        <v>39</v>
      </c>
      <c r="E464" t="s">
        <v>40</v>
      </c>
      <c r="F464" s="5">
        <v>6</v>
      </c>
      <c r="G464">
        <v>120</v>
      </c>
      <c r="H464" s="4">
        <v>0</v>
      </c>
      <c r="I464" s="6">
        <v>720</v>
      </c>
      <c r="J464" s="6">
        <v>201.6</v>
      </c>
      <c r="K464" t="s">
        <v>52</v>
      </c>
      <c r="L464" t="s">
        <v>24</v>
      </c>
      <c r="M464" t="s">
        <v>43</v>
      </c>
      <c r="N464" t="s">
        <v>20</v>
      </c>
    </row>
    <row r="465" spans="1:14" x14ac:dyDescent="0.3">
      <c r="A465">
        <v>1464</v>
      </c>
      <c r="B465" s="3">
        <v>46284</v>
      </c>
      <c r="C465" t="s">
        <v>191</v>
      </c>
      <c r="D465" t="s">
        <v>22</v>
      </c>
      <c r="E465" t="s">
        <v>16</v>
      </c>
      <c r="F465" s="5">
        <v>1</v>
      </c>
      <c r="G465">
        <v>1800</v>
      </c>
      <c r="H465" s="4">
        <v>0.1</v>
      </c>
      <c r="I465" s="6">
        <v>1620</v>
      </c>
      <c r="J465" s="6">
        <v>324</v>
      </c>
      <c r="K465" t="s">
        <v>57</v>
      </c>
      <c r="L465" t="s">
        <v>58</v>
      </c>
      <c r="M465" t="s">
        <v>25</v>
      </c>
      <c r="N465" t="s">
        <v>26</v>
      </c>
    </row>
    <row r="466" spans="1:14" x14ac:dyDescent="0.3">
      <c r="A466">
        <v>1465</v>
      </c>
      <c r="B466" s="3">
        <v>46125</v>
      </c>
      <c r="C466" t="s">
        <v>83</v>
      </c>
      <c r="D466" t="s">
        <v>51</v>
      </c>
      <c r="E466" t="s">
        <v>32</v>
      </c>
      <c r="F466" s="5">
        <v>5</v>
      </c>
      <c r="G466">
        <v>9000</v>
      </c>
      <c r="H466" s="4">
        <v>0.05</v>
      </c>
      <c r="I466" s="6">
        <v>42750</v>
      </c>
      <c r="J466" s="6">
        <v>10350</v>
      </c>
      <c r="K466" t="s">
        <v>78</v>
      </c>
      <c r="L466" t="s">
        <v>36</v>
      </c>
      <c r="M466" t="s">
        <v>43</v>
      </c>
      <c r="N466" t="s">
        <v>29</v>
      </c>
    </row>
    <row r="467" spans="1:14" x14ac:dyDescent="0.3">
      <c r="A467">
        <v>1466</v>
      </c>
      <c r="B467" s="3">
        <v>46043</v>
      </c>
      <c r="C467" t="s">
        <v>89</v>
      </c>
      <c r="D467" t="s">
        <v>28</v>
      </c>
      <c r="E467" t="s">
        <v>16</v>
      </c>
      <c r="F467" s="5">
        <v>4</v>
      </c>
      <c r="G467">
        <v>16000</v>
      </c>
      <c r="H467" s="4">
        <v>0.05</v>
      </c>
      <c r="I467" s="6">
        <v>60800</v>
      </c>
      <c r="J467" s="6">
        <v>14720</v>
      </c>
      <c r="K467" t="s">
        <v>61</v>
      </c>
      <c r="L467" t="s">
        <v>24</v>
      </c>
      <c r="M467" t="s">
        <v>25</v>
      </c>
      <c r="N467" t="s">
        <v>20</v>
      </c>
    </row>
    <row r="468" spans="1:14" x14ac:dyDescent="0.3">
      <c r="A468">
        <v>1467</v>
      </c>
      <c r="B468" s="3">
        <v>46068</v>
      </c>
      <c r="C468" t="s">
        <v>21</v>
      </c>
      <c r="D468" t="s">
        <v>34</v>
      </c>
      <c r="E468" t="s">
        <v>16</v>
      </c>
      <c r="F468" s="5">
        <v>5</v>
      </c>
      <c r="G468">
        <v>22000</v>
      </c>
      <c r="H468" s="4">
        <v>0.15</v>
      </c>
      <c r="I468" s="6">
        <v>93500</v>
      </c>
      <c r="J468" s="6">
        <v>14300</v>
      </c>
      <c r="K468" t="s">
        <v>47</v>
      </c>
      <c r="L468" t="s">
        <v>18</v>
      </c>
      <c r="M468" t="s">
        <v>19</v>
      </c>
      <c r="N468" t="s">
        <v>20</v>
      </c>
    </row>
    <row r="469" spans="1:14" x14ac:dyDescent="0.3">
      <c r="A469">
        <v>1468</v>
      </c>
      <c r="B469" s="3">
        <v>46154</v>
      </c>
      <c r="C469" t="s">
        <v>46</v>
      </c>
      <c r="D469" t="s">
        <v>42</v>
      </c>
      <c r="E469" t="s">
        <v>16</v>
      </c>
      <c r="F469" s="5">
        <v>4</v>
      </c>
      <c r="G469">
        <v>14000</v>
      </c>
      <c r="H469" s="4">
        <v>0.1</v>
      </c>
      <c r="I469" s="6">
        <v>50400</v>
      </c>
      <c r="J469" s="6">
        <v>10080</v>
      </c>
      <c r="K469" t="s">
        <v>67</v>
      </c>
      <c r="L469" t="s">
        <v>58</v>
      </c>
      <c r="M469" t="s">
        <v>25</v>
      </c>
      <c r="N469" t="s">
        <v>29</v>
      </c>
    </row>
    <row r="470" spans="1:14" x14ac:dyDescent="0.3">
      <c r="A470">
        <v>1469</v>
      </c>
      <c r="B470" s="3">
        <v>46043</v>
      </c>
      <c r="C470" t="s">
        <v>122</v>
      </c>
      <c r="D470" t="s">
        <v>51</v>
      </c>
      <c r="E470" t="s">
        <v>32</v>
      </c>
      <c r="F470" s="5">
        <v>3</v>
      </c>
      <c r="G470">
        <v>9000</v>
      </c>
      <c r="H470" s="4">
        <v>0.1</v>
      </c>
      <c r="I470" s="6">
        <v>24300</v>
      </c>
      <c r="J470" s="6">
        <v>4860</v>
      </c>
      <c r="K470" t="s">
        <v>55</v>
      </c>
      <c r="L470" t="s">
        <v>24</v>
      </c>
      <c r="M470" t="s">
        <v>25</v>
      </c>
      <c r="N470" t="s">
        <v>20</v>
      </c>
    </row>
    <row r="471" spans="1:14" x14ac:dyDescent="0.3">
      <c r="A471">
        <v>1470</v>
      </c>
      <c r="B471" s="3">
        <v>46027</v>
      </c>
      <c r="C471" t="s">
        <v>142</v>
      </c>
      <c r="D471" t="s">
        <v>45</v>
      </c>
      <c r="E471" t="s">
        <v>16</v>
      </c>
      <c r="F471" s="5">
        <v>6</v>
      </c>
      <c r="G471">
        <v>2500</v>
      </c>
      <c r="H471" s="4">
        <v>0.05</v>
      </c>
      <c r="I471" s="6">
        <v>14250</v>
      </c>
      <c r="J471" s="6">
        <v>3450</v>
      </c>
      <c r="K471" t="s">
        <v>78</v>
      </c>
      <c r="L471" t="s">
        <v>36</v>
      </c>
      <c r="M471" t="s">
        <v>19</v>
      </c>
      <c r="N471" t="s">
        <v>59</v>
      </c>
    </row>
    <row r="472" spans="1:14" x14ac:dyDescent="0.3">
      <c r="A472">
        <v>1471</v>
      </c>
      <c r="B472" s="3">
        <v>46070</v>
      </c>
      <c r="C472" t="s">
        <v>66</v>
      </c>
      <c r="D472" t="s">
        <v>31</v>
      </c>
      <c r="E472" t="s">
        <v>32</v>
      </c>
      <c r="F472" s="5">
        <v>3</v>
      </c>
      <c r="G472">
        <v>12000</v>
      </c>
      <c r="H472" s="4">
        <v>0.05</v>
      </c>
      <c r="I472" s="6">
        <v>34200</v>
      </c>
      <c r="J472" s="6">
        <v>8280</v>
      </c>
      <c r="K472" t="s">
        <v>57</v>
      </c>
      <c r="L472" t="s">
        <v>58</v>
      </c>
      <c r="M472" t="s">
        <v>43</v>
      </c>
      <c r="N472" t="s">
        <v>59</v>
      </c>
    </row>
    <row r="473" spans="1:14" x14ac:dyDescent="0.3">
      <c r="A473">
        <v>1472</v>
      </c>
      <c r="B473" s="3">
        <v>46220</v>
      </c>
      <c r="C473" t="s">
        <v>154</v>
      </c>
      <c r="D473" t="s">
        <v>75</v>
      </c>
      <c r="E473" t="s">
        <v>40</v>
      </c>
      <c r="F473" s="5">
        <v>4</v>
      </c>
      <c r="G473">
        <v>180</v>
      </c>
      <c r="H473" s="4">
        <v>0.05</v>
      </c>
      <c r="I473" s="6">
        <v>684</v>
      </c>
      <c r="J473" s="6">
        <v>165.6</v>
      </c>
      <c r="K473" t="s">
        <v>57</v>
      </c>
      <c r="L473" t="s">
        <v>58</v>
      </c>
      <c r="M473" t="s">
        <v>25</v>
      </c>
      <c r="N473" t="s">
        <v>20</v>
      </c>
    </row>
    <row r="474" spans="1:14" x14ac:dyDescent="0.3">
      <c r="A474">
        <v>1473</v>
      </c>
      <c r="B474" s="3">
        <v>46236</v>
      </c>
      <c r="C474" t="s">
        <v>99</v>
      </c>
      <c r="D474" t="s">
        <v>22</v>
      </c>
      <c r="E474" t="s">
        <v>16</v>
      </c>
      <c r="F474" s="5">
        <v>4</v>
      </c>
      <c r="G474">
        <v>1800</v>
      </c>
      <c r="H474" s="4">
        <v>0.15</v>
      </c>
      <c r="I474" s="6">
        <v>6120</v>
      </c>
      <c r="J474" s="6">
        <v>936</v>
      </c>
      <c r="K474" t="s">
        <v>47</v>
      </c>
      <c r="L474" t="s">
        <v>18</v>
      </c>
      <c r="M474" t="s">
        <v>43</v>
      </c>
      <c r="N474" t="s">
        <v>26</v>
      </c>
    </row>
    <row r="475" spans="1:14" x14ac:dyDescent="0.3">
      <c r="A475">
        <v>1474</v>
      </c>
      <c r="B475" s="3">
        <v>46037</v>
      </c>
      <c r="C475" t="s">
        <v>87</v>
      </c>
      <c r="D475" t="s">
        <v>45</v>
      </c>
      <c r="E475" t="s">
        <v>16</v>
      </c>
      <c r="F475" s="5">
        <v>4</v>
      </c>
      <c r="G475">
        <v>2500</v>
      </c>
      <c r="H475" s="4">
        <v>0.15</v>
      </c>
      <c r="I475" s="6">
        <v>8500</v>
      </c>
      <c r="J475" s="6">
        <v>1300</v>
      </c>
      <c r="K475" t="s">
        <v>57</v>
      </c>
      <c r="L475" t="s">
        <v>58</v>
      </c>
      <c r="M475" t="s">
        <v>25</v>
      </c>
      <c r="N475" t="s">
        <v>20</v>
      </c>
    </row>
    <row r="476" spans="1:14" x14ac:dyDescent="0.3">
      <c r="A476">
        <v>1475</v>
      </c>
      <c r="B476" s="3">
        <v>46156</v>
      </c>
      <c r="C476" t="s">
        <v>228</v>
      </c>
      <c r="D476" t="s">
        <v>31</v>
      </c>
      <c r="E476" t="s">
        <v>32</v>
      </c>
      <c r="F476" s="5">
        <v>1</v>
      </c>
      <c r="G476">
        <v>12000</v>
      </c>
      <c r="H476" s="4">
        <v>0.05</v>
      </c>
      <c r="I476" s="6">
        <v>11400</v>
      </c>
      <c r="J476" s="6">
        <v>2760</v>
      </c>
      <c r="K476" t="s">
        <v>78</v>
      </c>
      <c r="L476" t="s">
        <v>36</v>
      </c>
      <c r="M476" t="s">
        <v>43</v>
      </c>
      <c r="N476" t="s">
        <v>29</v>
      </c>
    </row>
    <row r="477" spans="1:14" x14ac:dyDescent="0.3">
      <c r="A477">
        <v>1476</v>
      </c>
      <c r="B477" s="3">
        <v>46269</v>
      </c>
      <c r="C477" t="s">
        <v>160</v>
      </c>
      <c r="D477" t="s">
        <v>31</v>
      </c>
      <c r="E477" t="s">
        <v>32</v>
      </c>
      <c r="F477" s="5">
        <v>6</v>
      </c>
      <c r="G477">
        <v>12000</v>
      </c>
      <c r="H477" s="4">
        <v>0.15</v>
      </c>
      <c r="I477" s="6">
        <v>61200</v>
      </c>
      <c r="J477" s="6">
        <v>9360</v>
      </c>
      <c r="K477" t="s">
        <v>47</v>
      </c>
      <c r="L477" t="s">
        <v>18</v>
      </c>
      <c r="M477" t="s">
        <v>25</v>
      </c>
      <c r="N477" t="s">
        <v>29</v>
      </c>
    </row>
    <row r="478" spans="1:14" x14ac:dyDescent="0.3">
      <c r="A478">
        <v>1477</v>
      </c>
      <c r="B478" s="3">
        <v>46281</v>
      </c>
      <c r="C478" t="s">
        <v>73</v>
      </c>
      <c r="D478" t="s">
        <v>75</v>
      </c>
      <c r="E478" t="s">
        <v>40</v>
      </c>
      <c r="F478" s="5">
        <v>4</v>
      </c>
      <c r="G478">
        <v>180</v>
      </c>
      <c r="H478" s="4">
        <v>0.05</v>
      </c>
      <c r="I478" s="6">
        <v>684</v>
      </c>
      <c r="J478" s="6">
        <v>165.6</v>
      </c>
      <c r="K478" t="s">
        <v>57</v>
      </c>
      <c r="L478" t="s">
        <v>58</v>
      </c>
      <c r="M478" t="s">
        <v>43</v>
      </c>
      <c r="N478" t="s">
        <v>29</v>
      </c>
    </row>
    <row r="479" spans="1:14" x14ac:dyDescent="0.3">
      <c r="A479">
        <v>1478</v>
      </c>
      <c r="B479" s="3">
        <v>46192</v>
      </c>
      <c r="C479" t="s">
        <v>105</v>
      </c>
      <c r="D479" t="s">
        <v>51</v>
      </c>
      <c r="E479" t="s">
        <v>32</v>
      </c>
      <c r="F479" s="5">
        <v>1</v>
      </c>
      <c r="G479">
        <v>9000</v>
      </c>
      <c r="H479" s="4">
        <v>0.05</v>
      </c>
      <c r="I479" s="6">
        <v>8550</v>
      </c>
      <c r="J479" s="6">
        <v>2070</v>
      </c>
      <c r="K479" t="s">
        <v>52</v>
      </c>
      <c r="L479" t="s">
        <v>24</v>
      </c>
      <c r="M479" t="s">
        <v>43</v>
      </c>
      <c r="N479" t="s">
        <v>29</v>
      </c>
    </row>
    <row r="480" spans="1:14" x14ac:dyDescent="0.3">
      <c r="A480">
        <v>1479</v>
      </c>
      <c r="B480" s="3">
        <v>46063</v>
      </c>
      <c r="C480" t="s">
        <v>179</v>
      </c>
      <c r="D480" t="s">
        <v>75</v>
      </c>
      <c r="E480" t="s">
        <v>40</v>
      </c>
      <c r="F480" s="5">
        <v>4</v>
      </c>
      <c r="G480">
        <v>180</v>
      </c>
      <c r="H480" s="4">
        <v>0.15</v>
      </c>
      <c r="I480" s="6">
        <v>612</v>
      </c>
      <c r="J480" s="6">
        <v>93.6</v>
      </c>
      <c r="K480" t="s">
        <v>57</v>
      </c>
      <c r="L480" t="s">
        <v>58</v>
      </c>
      <c r="M480" t="s">
        <v>43</v>
      </c>
      <c r="N480" t="s">
        <v>20</v>
      </c>
    </row>
    <row r="481" spans="1:14" x14ac:dyDescent="0.3">
      <c r="A481">
        <v>1480</v>
      </c>
      <c r="B481" s="3">
        <v>46277</v>
      </c>
      <c r="C481" t="s">
        <v>84</v>
      </c>
      <c r="D481" t="s">
        <v>15</v>
      </c>
      <c r="E481" t="s">
        <v>16</v>
      </c>
      <c r="F481" s="5">
        <v>1</v>
      </c>
      <c r="G481">
        <v>55000</v>
      </c>
      <c r="H481" s="4">
        <v>0.15</v>
      </c>
      <c r="I481" s="6">
        <v>46750</v>
      </c>
      <c r="J481" s="6">
        <v>7150</v>
      </c>
      <c r="K481" t="s">
        <v>55</v>
      </c>
      <c r="L481" t="s">
        <v>24</v>
      </c>
      <c r="M481" t="s">
        <v>25</v>
      </c>
      <c r="N481" t="s">
        <v>26</v>
      </c>
    </row>
    <row r="482" spans="1:14" x14ac:dyDescent="0.3">
      <c r="A482">
        <v>1481</v>
      </c>
      <c r="B482" s="3">
        <v>46178</v>
      </c>
      <c r="C482" t="s">
        <v>222</v>
      </c>
      <c r="D482" t="s">
        <v>28</v>
      </c>
      <c r="E482" t="s">
        <v>16</v>
      </c>
      <c r="F482" s="5">
        <v>5</v>
      </c>
      <c r="G482">
        <v>16000</v>
      </c>
      <c r="H482" s="4">
        <v>0.05</v>
      </c>
      <c r="I482" s="6">
        <v>76000</v>
      </c>
      <c r="J482" s="6">
        <v>18400</v>
      </c>
      <c r="K482" t="s">
        <v>61</v>
      </c>
      <c r="L482" t="s">
        <v>24</v>
      </c>
      <c r="M482" t="s">
        <v>25</v>
      </c>
      <c r="N482" t="s">
        <v>29</v>
      </c>
    </row>
    <row r="483" spans="1:14" x14ac:dyDescent="0.3">
      <c r="A483">
        <v>1482</v>
      </c>
      <c r="B483" s="3">
        <v>46255</v>
      </c>
      <c r="C483" t="s">
        <v>229</v>
      </c>
      <c r="D483" t="s">
        <v>31</v>
      </c>
      <c r="E483" t="s">
        <v>32</v>
      </c>
      <c r="F483" s="5">
        <v>5</v>
      </c>
      <c r="G483">
        <v>12000</v>
      </c>
      <c r="H483" s="4">
        <v>0.15</v>
      </c>
      <c r="I483" s="6">
        <v>51000</v>
      </c>
      <c r="J483" s="6">
        <v>7800</v>
      </c>
      <c r="K483" t="s">
        <v>78</v>
      </c>
      <c r="L483" t="s">
        <v>36</v>
      </c>
      <c r="M483" t="s">
        <v>25</v>
      </c>
      <c r="N483" t="s">
        <v>20</v>
      </c>
    </row>
    <row r="484" spans="1:14" x14ac:dyDescent="0.3">
      <c r="A484">
        <v>1483</v>
      </c>
      <c r="B484" s="3">
        <v>46136</v>
      </c>
      <c r="C484" t="s">
        <v>65</v>
      </c>
      <c r="D484" t="s">
        <v>15</v>
      </c>
      <c r="E484" t="s">
        <v>16</v>
      </c>
      <c r="F484" s="5">
        <v>3</v>
      </c>
      <c r="G484">
        <v>55000</v>
      </c>
      <c r="H484" s="4">
        <v>0.1</v>
      </c>
      <c r="I484" s="6">
        <v>148500</v>
      </c>
      <c r="J484" s="6">
        <v>29700</v>
      </c>
      <c r="K484" t="s">
        <v>67</v>
      </c>
      <c r="L484" t="s">
        <v>58</v>
      </c>
      <c r="M484" t="s">
        <v>19</v>
      </c>
      <c r="N484" t="s">
        <v>20</v>
      </c>
    </row>
    <row r="485" spans="1:14" x14ac:dyDescent="0.3">
      <c r="A485">
        <v>1484</v>
      </c>
      <c r="B485" s="3">
        <v>46046</v>
      </c>
      <c r="C485" t="s">
        <v>191</v>
      </c>
      <c r="D485" t="s">
        <v>45</v>
      </c>
      <c r="E485" t="s">
        <v>16</v>
      </c>
      <c r="F485" s="5">
        <v>4</v>
      </c>
      <c r="G485">
        <v>2500</v>
      </c>
      <c r="H485" s="4">
        <v>0.05</v>
      </c>
      <c r="I485" s="6">
        <v>9500</v>
      </c>
      <c r="J485" s="6">
        <v>2300</v>
      </c>
      <c r="K485" t="s">
        <v>55</v>
      </c>
      <c r="L485" t="s">
        <v>24</v>
      </c>
      <c r="M485" t="s">
        <v>19</v>
      </c>
      <c r="N485" t="s">
        <v>29</v>
      </c>
    </row>
    <row r="486" spans="1:14" x14ac:dyDescent="0.3">
      <c r="A486">
        <v>1485</v>
      </c>
      <c r="B486" s="3">
        <v>46119</v>
      </c>
      <c r="C486" t="s">
        <v>134</v>
      </c>
      <c r="D486" t="s">
        <v>34</v>
      </c>
      <c r="E486" t="s">
        <v>16</v>
      </c>
      <c r="F486" s="5">
        <v>4</v>
      </c>
      <c r="G486">
        <v>22000</v>
      </c>
      <c r="H486" s="4">
        <v>0.05</v>
      </c>
      <c r="I486" s="6">
        <v>83600</v>
      </c>
      <c r="J486" s="6">
        <v>20240</v>
      </c>
      <c r="K486" t="s">
        <v>61</v>
      </c>
      <c r="L486" t="s">
        <v>24</v>
      </c>
      <c r="M486" t="s">
        <v>25</v>
      </c>
      <c r="N486" t="s">
        <v>37</v>
      </c>
    </row>
    <row r="487" spans="1:14" x14ac:dyDescent="0.3">
      <c r="A487">
        <v>1486</v>
      </c>
      <c r="B487" s="3">
        <v>46046</v>
      </c>
      <c r="C487" t="s">
        <v>96</v>
      </c>
      <c r="D487" t="s">
        <v>22</v>
      </c>
      <c r="E487" t="s">
        <v>16</v>
      </c>
      <c r="F487" s="5">
        <v>1</v>
      </c>
      <c r="G487">
        <v>1800</v>
      </c>
      <c r="H487" s="4">
        <v>0.15</v>
      </c>
      <c r="I487" s="6">
        <v>1530</v>
      </c>
      <c r="J487" s="6">
        <v>234</v>
      </c>
      <c r="K487" t="s">
        <v>61</v>
      </c>
      <c r="L487" t="s">
        <v>24</v>
      </c>
      <c r="M487" t="s">
        <v>43</v>
      </c>
      <c r="N487" t="s">
        <v>20</v>
      </c>
    </row>
    <row r="488" spans="1:14" x14ac:dyDescent="0.3">
      <c r="A488">
        <v>1487</v>
      </c>
      <c r="B488" s="3">
        <v>46294</v>
      </c>
      <c r="C488" t="s">
        <v>230</v>
      </c>
      <c r="D488" t="s">
        <v>15</v>
      </c>
      <c r="E488" t="s">
        <v>16</v>
      </c>
      <c r="F488" s="5">
        <v>5</v>
      </c>
      <c r="G488">
        <v>55000</v>
      </c>
      <c r="H488" s="4">
        <v>0.15</v>
      </c>
      <c r="I488" s="6">
        <v>233750</v>
      </c>
      <c r="J488" s="6">
        <v>35750</v>
      </c>
      <c r="K488" t="s">
        <v>35</v>
      </c>
      <c r="L488" t="s">
        <v>36</v>
      </c>
      <c r="M488" t="s">
        <v>19</v>
      </c>
      <c r="N488" t="s">
        <v>26</v>
      </c>
    </row>
    <row r="489" spans="1:14" x14ac:dyDescent="0.3">
      <c r="A489">
        <v>1488</v>
      </c>
      <c r="B489" s="3">
        <v>46111</v>
      </c>
      <c r="C489" t="s">
        <v>62</v>
      </c>
      <c r="D489" t="s">
        <v>45</v>
      </c>
      <c r="E489" t="s">
        <v>16</v>
      </c>
      <c r="F489" s="5">
        <v>1</v>
      </c>
      <c r="G489">
        <v>2500</v>
      </c>
      <c r="H489" s="4">
        <v>0.15</v>
      </c>
      <c r="I489" s="6">
        <v>2125</v>
      </c>
      <c r="J489" s="6">
        <v>325</v>
      </c>
      <c r="K489" t="s">
        <v>35</v>
      </c>
      <c r="L489" t="s">
        <v>36</v>
      </c>
      <c r="M489" t="s">
        <v>19</v>
      </c>
      <c r="N489" t="s">
        <v>37</v>
      </c>
    </row>
    <row r="490" spans="1:14" x14ac:dyDescent="0.3">
      <c r="A490">
        <v>1489</v>
      </c>
      <c r="B490" s="3">
        <v>46237</v>
      </c>
      <c r="C490" t="s">
        <v>151</v>
      </c>
      <c r="D490" t="s">
        <v>22</v>
      </c>
      <c r="E490" t="s">
        <v>16</v>
      </c>
      <c r="F490" s="5">
        <v>6</v>
      </c>
      <c r="G490">
        <v>1800</v>
      </c>
      <c r="H490" s="4">
        <v>0.05</v>
      </c>
      <c r="I490" s="6">
        <v>10260</v>
      </c>
      <c r="J490" s="6">
        <v>2484</v>
      </c>
      <c r="K490" t="s">
        <v>67</v>
      </c>
      <c r="L490" t="s">
        <v>58</v>
      </c>
      <c r="M490" t="s">
        <v>43</v>
      </c>
      <c r="N490" t="s">
        <v>37</v>
      </c>
    </row>
    <row r="491" spans="1:14" x14ac:dyDescent="0.3">
      <c r="A491">
        <v>1490</v>
      </c>
      <c r="B491" s="3">
        <v>46091</v>
      </c>
      <c r="C491" t="s">
        <v>48</v>
      </c>
      <c r="D491" t="s">
        <v>45</v>
      </c>
      <c r="E491" t="s">
        <v>16</v>
      </c>
      <c r="F491" s="5">
        <v>4</v>
      </c>
      <c r="G491">
        <v>2500</v>
      </c>
      <c r="H491" s="4">
        <v>0.1</v>
      </c>
      <c r="I491" s="6">
        <v>9000</v>
      </c>
      <c r="J491" s="6">
        <v>1800</v>
      </c>
      <c r="K491" t="s">
        <v>52</v>
      </c>
      <c r="L491" t="s">
        <v>24</v>
      </c>
      <c r="M491" t="s">
        <v>25</v>
      </c>
      <c r="N491" t="s">
        <v>29</v>
      </c>
    </row>
    <row r="492" spans="1:14" x14ac:dyDescent="0.3">
      <c r="A492">
        <v>1491</v>
      </c>
      <c r="B492" s="3">
        <v>46171</v>
      </c>
      <c r="C492" t="s">
        <v>156</v>
      </c>
      <c r="D492" t="s">
        <v>31</v>
      </c>
      <c r="E492" t="s">
        <v>32</v>
      </c>
      <c r="F492" s="5">
        <v>6</v>
      </c>
      <c r="G492">
        <v>12000</v>
      </c>
      <c r="H492" s="4">
        <v>0.05</v>
      </c>
      <c r="I492" s="6">
        <v>68400</v>
      </c>
      <c r="J492" s="6">
        <v>16560</v>
      </c>
      <c r="K492" t="s">
        <v>47</v>
      </c>
      <c r="L492" t="s">
        <v>18</v>
      </c>
      <c r="M492" t="s">
        <v>19</v>
      </c>
      <c r="N492" t="s">
        <v>20</v>
      </c>
    </row>
    <row r="493" spans="1:14" x14ac:dyDescent="0.3">
      <c r="A493">
        <v>1492</v>
      </c>
      <c r="B493" s="3">
        <v>46203</v>
      </c>
      <c r="C493" t="s">
        <v>141</v>
      </c>
      <c r="D493" t="s">
        <v>28</v>
      </c>
      <c r="E493" t="s">
        <v>16</v>
      </c>
      <c r="F493" s="5">
        <v>4</v>
      </c>
      <c r="G493">
        <v>16000</v>
      </c>
      <c r="H493" s="4">
        <v>0.15</v>
      </c>
      <c r="I493" s="6">
        <v>54400</v>
      </c>
      <c r="J493" s="6">
        <v>8320</v>
      </c>
      <c r="K493" t="s">
        <v>52</v>
      </c>
      <c r="L493" t="s">
        <v>24</v>
      </c>
      <c r="M493" t="s">
        <v>25</v>
      </c>
      <c r="N493" t="s">
        <v>26</v>
      </c>
    </row>
    <row r="494" spans="1:14" x14ac:dyDescent="0.3">
      <c r="A494">
        <v>1493</v>
      </c>
      <c r="B494" s="3">
        <v>46077</v>
      </c>
      <c r="C494" t="s">
        <v>44</v>
      </c>
      <c r="D494" t="s">
        <v>15</v>
      </c>
      <c r="E494" t="s">
        <v>16</v>
      </c>
      <c r="F494" s="5">
        <v>4</v>
      </c>
      <c r="G494">
        <v>55000</v>
      </c>
      <c r="H494" s="4">
        <v>0.05</v>
      </c>
      <c r="I494" s="6">
        <v>209000</v>
      </c>
      <c r="J494" s="6">
        <v>50600</v>
      </c>
      <c r="K494" t="s">
        <v>23</v>
      </c>
      <c r="L494" t="s">
        <v>24</v>
      </c>
      <c r="M494" t="s">
        <v>25</v>
      </c>
      <c r="N494" t="s">
        <v>59</v>
      </c>
    </row>
    <row r="495" spans="1:14" x14ac:dyDescent="0.3">
      <c r="A495">
        <v>1494</v>
      </c>
      <c r="B495" s="3">
        <v>46105</v>
      </c>
      <c r="C495" t="s">
        <v>126</v>
      </c>
      <c r="D495" t="s">
        <v>51</v>
      </c>
      <c r="E495" t="s">
        <v>32</v>
      </c>
      <c r="F495" s="5">
        <v>6</v>
      </c>
      <c r="G495">
        <v>9000</v>
      </c>
      <c r="H495" s="4">
        <v>0.1</v>
      </c>
      <c r="I495" s="6">
        <v>48600</v>
      </c>
      <c r="J495" s="6">
        <v>9720</v>
      </c>
      <c r="K495" t="s">
        <v>47</v>
      </c>
      <c r="L495" t="s">
        <v>18</v>
      </c>
      <c r="M495" t="s">
        <v>25</v>
      </c>
      <c r="N495" t="s">
        <v>26</v>
      </c>
    </row>
    <row r="496" spans="1:14" x14ac:dyDescent="0.3">
      <c r="A496">
        <v>1495</v>
      </c>
      <c r="B496" s="3">
        <v>46039</v>
      </c>
      <c r="C496" t="s">
        <v>188</v>
      </c>
      <c r="D496" t="s">
        <v>31</v>
      </c>
      <c r="E496" t="s">
        <v>32</v>
      </c>
      <c r="F496" s="5">
        <v>4</v>
      </c>
      <c r="G496">
        <v>12000</v>
      </c>
      <c r="H496" s="4">
        <v>0</v>
      </c>
      <c r="I496" s="6">
        <v>48000</v>
      </c>
      <c r="J496" s="6">
        <v>13440</v>
      </c>
      <c r="K496" t="s">
        <v>35</v>
      </c>
      <c r="L496" t="s">
        <v>36</v>
      </c>
      <c r="M496" t="s">
        <v>19</v>
      </c>
      <c r="N496" t="s">
        <v>26</v>
      </c>
    </row>
    <row r="497" spans="1:14" x14ac:dyDescent="0.3">
      <c r="A497">
        <v>1496</v>
      </c>
      <c r="B497" s="3">
        <v>46222</v>
      </c>
      <c r="C497" t="s">
        <v>103</v>
      </c>
      <c r="D497" t="s">
        <v>42</v>
      </c>
      <c r="E497" t="s">
        <v>16</v>
      </c>
      <c r="F497" s="5">
        <v>5</v>
      </c>
      <c r="G497">
        <v>14000</v>
      </c>
      <c r="H497" s="4">
        <v>0.1</v>
      </c>
      <c r="I497" s="6">
        <v>63000</v>
      </c>
      <c r="J497" s="6">
        <v>12600</v>
      </c>
      <c r="K497" t="s">
        <v>23</v>
      </c>
      <c r="L497" t="s">
        <v>24</v>
      </c>
      <c r="M497" t="s">
        <v>43</v>
      </c>
      <c r="N497" t="s">
        <v>59</v>
      </c>
    </row>
    <row r="498" spans="1:14" x14ac:dyDescent="0.3">
      <c r="A498">
        <v>1497</v>
      </c>
      <c r="B498" s="3">
        <v>46050</v>
      </c>
      <c r="C498" t="s">
        <v>231</v>
      </c>
      <c r="D498" t="s">
        <v>15</v>
      </c>
      <c r="E498" t="s">
        <v>16</v>
      </c>
      <c r="F498" s="5">
        <v>6</v>
      </c>
      <c r="G498">
        <v>55000</v>
      </c>
      <c r="H498" s="4">
        <v>0.1</v>
      </c>
      <c r="I498" s="6">
        <v>297000</v>
      </c>
      <c r="J498" s="6">
        <v>59400</v>
      </c>
      <c r="K498" t="s">
        <v>17</v>
      </c>
      <c r="L498" t="s">
        <v>18</v>
      </c>
      <c r="M498" t="s">
        <v>25</v>
      </c>
      <c r="N498" t="s">
        <v>59</v>
      </c>
    </row>
    <row r="499" spans="1:14" x14ac:dyDescent="0.3">
      <c r="A499">
        <v>1498</v>
      </c>
      <c r="B499" s="3">
        <v>46123</v>
      </c>
      <c r="C499" t="s">
        <v>56</v>
      </c>
      <c r="D499" t="s">
        <v>42</v>
      </c>
      <c r="E499" t="s">
        <v>16</v>
      </c>
      <c r="F499" s="5">
        <v>3</v>
      </c>
      <c r="G499">
        <v>14000</v>
      </c>
      <c r="H499" s="4">
        <v>0.15</v>
      </c>
      <c r="I499" s="6">
        <v>35700</v>
      </c>
      <c r="J499" s="6">
        <v>5460</v>
      </c>
      <c r="K499" t="s">
        <v>47</v>
      </c>
      <c r="L499" t="s">
        <v>18</v>
      </c>
      <c r="M499" t="s">
        <v>25</v>
      </c>
      <c r="N499" t="s">
        <v>29</v>
      </c>
    </row>
    <row r="500" spans="1:14" x14ac:dyDescent="0.3">
      <c r="A500">
        <v>1499</v>
      </c>
      <c r="B500" s="3">
        <v>46286</v>
      </c>
      <c r="C500" t="s">
        <v>207</v>
      </c>
      <c r="D500" t="s">
        <v>34</v>
      </c>
      <c r="E500" t="s">
        <v>16</v>
      </c>
      <c r="F500" s="5">
        <v>4</v>
      </c>
      <c r="G500">
        <v>22000</v>
      </c>
      <c r="H500" s="4">
        <v>0</v>
      </c>
      <c r="I500" s="6">
        <v>88000</v>
      </c>
      <c r="J500" s="6">
        <v>24640</v>
      </c>
      <c r="K500" t="s">
        <v>55</v>
      </c>
      <c r="L500" t="s">
        <v>24</v>
      </c>
      <c r="M500" t="s">
        <v>25</v>
      </c>
      <c r="N500" t="s">
        <v>29</v>
      </c>
    </row>
    <row r="501" spans="1:14" x14ac:dyDescent="0.3">
      <c r="A501">
        <v>1500</v>
      </c>
      <c r="B501" s="3">
        <v>46153</v>
      </c>
      <c r="C501" t="s">
        <v>232</v>
      </c>
      <c r="D501" t="s">
        <v>15</v>
      </c>
      <c r="E501" t="s">
        <v>16</v>
      </c>
      <c r="F501" s="5">
        <v>3</v>
      </c>
      <c r="G501">
        <v>55000</v>
      </c>
      <c r="H501" s="4">
        <v>0.15</v>
      </c>
      <c r="I501" s="6">
        <v>140250</v>
      </c>
      <c r="J501" s="6">
        <v>21450</v>
      </c>
      <c r="K501" t="s">
        <v>47</v>
      </c>
      <c r="L501" t="s">
        <v>18</v>
      </c>
      <c r="M501" t="s">
        <v>43</v>
      </c>
      <c r="N501" t="s">
        <v>26</v>
      </c>
    </row>
  </sheetData>
  <pageMargins left="0.75" right="0.75" top="1" bottom="1" header="0.5" footer="0.5"/>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399243-0410-4370-968C-0B247E16677B}">
  <dimension ref="A3:B7"/>
  <sheetViews>
    <sheetView workbookViewId="0">
      <selection activeCell="A3" sqref="A3:M22"/>
    </sheetView>
  </sheetViews>
  <sheetFormatPr defaultRowHeight="14.4" x14ac:dyDescent="0.3"/>
  <cols>
    <col min="1" max="1" width="12.5546875" bestFit="1" customWidth="1"/>
    <col min="2" max="2" width="11.6640625" bestFit="1" customWidth="1"/>
  </cols>
  <sheetData>
    <row r="3" spans="1:2" x14ac:dyDescent="0.3">
      <c r="A3" s="11" t="s">
        <v>242</v>
      </c>
      <c r="B3" t="s">
        <v>245</v>
      </c>
    </row>
    <row r="4" spans="1:2" x14ac:dyDescent="0.3">
      <c r="A4" s="12" t="s">
        <v>16</v>
      </c>
      <c r="B4" s="6">
        <v>18188160</v>
      </c>
    </row>
    <row r="5" spans="1:2" x14ac:dyDescent="0.3">
      <c r="A5" s="12" t="s">
        <v>32</v>
      </c>
      <c r="B5" s="6">
        <v>3400050</v>
      </c>
    </row>
    <row r="6" spans="1:2" x14ac:dyDescent="0.3">
      <c r="A6" s="12" t="s">
        <v>40</v>
      </c>
      <c r="B6" s="6">
        <v>42084</v>
      </c>
    </row>
    <row r="7" spans="1:2" x14ac:dyDescent="0.3">
      <c r="A7" s="12" t="s">
        <v>243</v>
      </c>
      <c r="B7" s="6">
        <v>21630294</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FE5A4-A586-4791-97FF-00BDA09B3BB7}">
  <dimension ref="A1:J35"/>
  <sheetViews>
    <sheetView showGridLines="0" tabSelected="1" topLeftCell="F3" zoomScale="76" workbookViewId="0">
      <selection activeCell="Z19" sqref="Z19"/>
    </sheetView>
  </sheetViews>
  <sheetFormatPr defaultRowHeight="14.4" x14ac:dyDescent="0.3"/>
  <cols>
    <col min="1" max="8" width="15.77734375" customWidth="1"/>
  </cols>
  <sheetData>
    <row r="1" spans="1:10" ht="19.95" customHeight="1" x14ac:dyDescent="0.45">
      <c r="A1" s="19" t="s">
        <v>262</v>
      </c>
      <c r="B1" s="20"/>
      <c r="C1" s="20"/>
      <c r="D1" s="20"/>
      <c r="E1" s="20"/>
      <c r="F1" s="20"/>
      <c r="G1" s="20"/>
      <c r="H1" s="20"/>
    </row>
    <row r="2" spans="1:10" ht="19.95" customHeight="1" x14ac:dyDescent="0.3">
      <c r="A2" s="14" t="s">
        <v>256</v>
      </c>
      <c r="B2" s="14" t="s">
        <v>257</v>
      </c>
    </row>
    <row r="3" spans="1:10" ht="19.95" customHeight="1" x14ac:dyDescent="0.3">
      <c r="A3" s="15" t="s">
        <v>258</v>
      </c>
      <c r="B3" s="16">
        <v>21630294</v>
      </c>
    </row>
    <row r="4" spans="1:10" ht="19.95" customHeight="1" x14ac:dyDescent="0.3">
      <c r="A4" s="15" t="s">
        <v>259</v>
      </c>
      <c r="B4" s="17">
        <f>SUM(Raw_Data!J2:J501)</f>
        <v>4673055.5999999987</v>
      </c>
    </row>
    <row r="5" spans="1:10" ht="19.95" customHeight="1" x14ac:dyDescent="0.3">
      <c r="A5" s="15" t="s">
        <v>260</v>
      </c>
      <c r="B5" s="17">
        <f>COUNTA(Raw_Data!A2:A501)</f>
        <v>500</v>
      </c>
    </row>
    <row r="6" spans="1:10" ht="29.4" customHeight="1" x14ac:dyDescent="0.3">
      <c r="A6" s="15" t="s">
        <v>261</v>
      </c>
      <c r="B6" s="18">
        <f>SUM(Raw_Data!I2:I501)/COUNTA(Raw_Data!A2:A501)</f>
        <v>43260.588000000003</v>
      </c>
    </row>
    <row r="7" spans="1:10" ht="19.95" customHeight="1" x14ac:dyDescent="0.3"/>
    <row r="8" spans="1:10" ht="19.95" customHeight="1" x14ac:dyDescent="0.3">
      <c r="A8" s="13" t="s">
        <v>263</v>
      </c>
    </row>
    <row r="9" spans="1:10" ht="19.95" customHeight="1" x14ac:dyDescent="0.3">
      <c r="I9" s="11" t="s">
        <v>242</v>
      </c>
      <c r="J9" t="s">
        <v>245</v>
      </c>
    </row>
    <row r="10" spans="1:10" ht="19.95" customHeight="1" x14ac:dyDescent="0.3">
      <c r="I10" s="12" t="s">
        <v>246</v>
      </c>
      <c r="J10" s="6">
        <v>1930042</v>
      </c>
    </row>
    <row r="11" spans="1:10" ht="19.95" customHeight="1" x14ac:dyDescent="0.3">
      <c r="A11" s="11" t="s">
        <v>242</v>
      </c>
      <c r="B11" t="s">
        <v>245</v>
      </c>
      <c r="I11" s="12" t="s">
        <v>247</v>
      </c>
      <c r="J11" s="6">
        <v>2891875</v>
      </c>
    </row>
    <row r="12" spans="1:10" ht="19.95" customHeight="1" x14ac:dyDescent="0.3">
      <c r="A12" s="12" t="s">
        <v>16</v>
      </c>
      <c r="B12" s="6">
        <v>18188160</v>
      </c>
      <c r="I12" s="12" t="s">
        <v>248</v>
      </c>
      <c r="J12" s="6">
        <v>2200094</v>
      </c>
    </row>
    <row r="13" spans="1:10" ht="19.95" customHeight="1" x14ac:dyDescent="0.3">
      <c r="A13" s="12" t="s">
        <v>32</v>
      </c>
      <c r="B13" s="6">
        <v>3400050</v>
      </c>
      <c r="I13" s="12" t="s">
        <v>249</v>
      </c>
      <c r="J13" s="6">
        <v>1775978</v>
      </c>
    </row>
    <row r="14" spans="1:10" ht="19.95" customHeight="1" x14ac:dyDescent="0.3">
      <c r="A14" s="12" t="s">
        <v>40</v>
      </c>
      <c r="B14" s="6">
        <v>42084</v>
      </c>
      <c r="I14" s="12" t="s">
        <v>250</v>
      </c>
      <c r="J14" s="6">
        <v>3187163</v>
      </c>
    </row>
    <row r="15" spans="1:10" ht="19.95" customHeight="1" x14ac:dyDescent="0.3">
      <c r="A15" s="12" t="s">
        <v>243</v>
      </c>
      <c r="B15" s="6">
        <v>21630294</v>
      </c>
      <c r="I15" s="12" t="s">
        <v>251</v>
      </c>
      <c r="J15" s="6">
        <v>2001308</v>
      </c>
    </row>
    <row r="16" spans="1:10" ht="19.95" customHeight="1" x14ac:dyDescent="0.3">
      <c r="I16" s="12" t="s">
        <v>252</v>
      </c>
      <c r="J16" s="6">
        <v>2395471</v>
      </c>
    </row>
    <row r="17" spans="1:10" ht="19.95" customHeight="1" x14ac:dyDescent="0.3">
      <c r="I17" s="12" t="s">
        <v>253</v>
      </c>
      <c r="J17" s="6">
        <v>2318281</v>
      </c>
    </row>
    <row r="18" spans="1:10" ht="19.95" customHeight="1" x14ac:dyDescent="0.3">
      <c r="I18" s="12" t="s">
        <v>254</v>
      </c>
      <c r="J18" s="6">
        <v>2930082</v>
      </c>
    </row>
    <row r="19" spans="1:10" ht="19.95" customHeight="1" x14ac:dyDescent="0.3">
      <c r="I19" s="12" t="s">
        <v>243</v>
      </c>
      <c r="J19" s="6">
        <v>21630294</v>
      </c>
    </row>
    <row r="20" spans="1:10" ht="19.95" customHeight="1" x14ac:dyDescent="0.3"/>
    <row r="21" spans="1:10" ht="19.95" customHeight="1" x14ac:dyDescent="0.3"/>
    <row r="22" spans="1:10" ht="19.95" customHeight="1" x14ac:dyDescent="0.3"/>
    <row r="23" spans="1:10" ht="19.95" customHeight="1" x14ac:dyDescent="0.3">
      <c r="A23" s="11" t="s">
        <v>242</v>
      </c>
      <c r="B23" t="s">
        <v>245</v>
      </c>
      <c r="I23" s="11" t="s">
        <v>242</v>
      </c>
      <c r="J23" t="s">
        <v>245</v>
      </c>
    </row>
    <row r="24" spans="1:10" ht="19.95" customHeight="1" x14ac:dyDescent="0.3">
      <c r="A24" s="12" t="s">
        <v>47</v>
      </c>
      <c r="B24" s="6">
        <v>2398902</v>
      </c>
      <c r="I24" s="12" t="s">
        <v>37</v>
      </c>
      <c r="J24" s="6">
        <v>3765106</v>
      </c>
    </row>
    <row r="25" spans="1:10" ht="19.95" customHeight="1" x14ac:dyDescent="0.3">
      <c r="A25" s="12" t="s">
        <v>55</v>
      </c>
      <c r="B25" s="6">
        <v>1995094</v>
      </c>
      <c r="I25" s="12" t="s">
        <v>29</v>
      </c>
      <c r="J25" s="6">
        <v>4160939</v>
      </c>
    </row>
    <row r="26" spans="1:10" ht="19.95" customHeight="1" x14ac:dyDescent="0.3">
      <c r="A26" s="12" t="s">
        <v>23</v>
      </c>
      <c r="B26" s="6">
        <v>2428220</v>
      </c>
      <c r="I26" s="12" t="s">
        <v>59</v>
      </c>
      <c r="J26" s="6">
        <v>3957195</v>
      </c>
    </row>
    <row r="27" spans="1:10" ht="19.95" customHeight="1" x14ac:dyDescent="0.3">
      <c r="A27" s="12" t="s">
        <v>17</v>
      </c>
      <c r="B27" s="6">
        <v>1973562</v>
      </c>
      <c r="I27" s="12" t="s">
        <v>26</v>
      </c>
      <c r="J27" s="6">
        <v>4404416</v>
      </c>
    </row>
    <row r="28" spans="1:10" ht="19.95" customHeight="1" x14ac:dyDescent="0.3">
      <c r="A28" s="12" t="s">
        <v>61</v>
      </c>
      <c r="B28" s="6">
        <v>2119695</v>
      </c>
      <c r="I28" s="12" t="s">
        <v>20</v>
      </c>
      <c r="J28" s="6">
        <v>5342638</v>
      </c>
    </row>
    <row r="29" spans="1:10" ht="19.95" customHeight="1" x14ac:dyDescent="0.3">
      <c r="A29" s="12" t="s">
        <v>78</v>
      </c>
      <c r="B29" s="6">
        <v>1789286</v>
      </c>
      <c r="I29" s="12" t="s">
        <v>243</v>
      </c>
      <c r="J29" s="6">
        <v>21630294</v>
      </c>
    </row>
    <row r="30" spans="1:10" ht="19.95" customHeight="1" x14ac:dyDescent="0.3">
      <c r="A30" s="12" t="s">
        <v>52</v>
      </c>
      <c r="B30" s="6">
        <v>1837411</v>
      </c>
    </row>
    <row r="31" spans="1:10" ht="19.95" customHeight="1" x14ac:dyDescent="0.3">
      <c r="A31" s="12" t="s">
        <v>57</v>
      </c>
      <c r="B31" s="6">
        <v>2091905</v>
      </c>
    </row>
    <row r="32" spans="1:10" ht="19.95" customHeight="1" x14ac:dyDescent="0.3">
      <c r="A32" s="12" t="s">
        <v>35</v>
      </c>
      <c r="B32" s="6">
        <v>2268719</v>
      </c>
    </row>
    <row r="33" spans="1:2" ht="19.95" customHeight="1" x14ac:dyDescent="0.3">
      <c r="A33" s="12" t="s">
        <v>67</v>
      </c>
      <c r="B33" s="6">
        <v>2647500</v>
      </c>
    </row>
    <row r="34" spans="1:2" ht="19.95" customHeight="1" x14ac:dyDescent="0.3">
      <c r="A34" s="12" t="s">
        <v>233</v>
      </c>
      <c r="B34" s="6">
        <v>80000</v>
      </c>
    </row>
    <row r="35" spans="1:2" ht="19.95" customHeight="1" x14ac:dyDescent="0.3">
      <c r="A35" s="12" t="s">
        <v>243</v>
      </c>
      <c r="B35" s="6">
        <v>21630294</v>
      </c>
    </row>
  </sheetData>
  <mergeCells count="1">
    <mergeCell ref="A1:H1"/>
  </mergeCells>
  <pageMargins left="0.7" right="0.7" top="0.75" bottom="0.75" header="0.3" footer="0.3"/>
  <pageSetup orientation="portrait" r:id="rId5"/>
  <drawing r:id="rId6"/>
  <extLst>
    <ext xmlns:x14="http://schemas.microsoft.com/office/spreadsheetml/2009/9/main" uri="{A8765BA9-456A-4dab-B4F3-ACF838C121DE}">
      <x14:slicerList>
        <x14:slicer r:id="rId7"/>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pt_payment</vt:lpstr>
      <vt:lpstr>pt_city</vt:lpstr>
      <vt:lpstr>pt_product</vt:lpstr>
      <vt:lpstr>pt_region</vt:lpstr>
      <vt:lpstr>pt_monthly</vt:lpstr>
      <vt:lpstr>pt_quantity</vt:lpstr>
      <vt:lpstr>pt_profit</vt:lpstr>
      <vt:lpstr>Raw_Data</vt:lpstr>
      <vt:lpstr>pt_category</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shivam kumar rai</cp:lastModifiedBy>
  <dcterms:created xsi:type="dcterms:W3CDTF">2026-09-30T15:39:49Z</dcterms:created>
  <dcterms:modified xsi:type="dcterms:W3CDTF">2026-10-01T18:18:53Z</dcterms:modified>
</cp:coreProperties>
</file>